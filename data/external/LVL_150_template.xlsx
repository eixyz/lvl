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D:\Daten\seismic\lvl\data\external\"/>
    </mc:Choice>
  </mc:AlternateContent>
  <xr:revisionPtr revIDLastSave="0" documentId="13_ncr:1_{A0972CF9-4355-4F4B-892F-716F2638EFD7}" xr6:coauthVersionLast="47" xr6:coauthVersionMax="47" xr10:uidLastSave="{00000000-0000-0000-0000-000000000000}"/>
  <bookViews>
    <workbookView xWindow="32595" yWindow="780" windowWidth="23790" windowHeight="12735" activeTab="4" xr2:uid="{00000000-000D-0000-FFFF-FFFF00000000}"/>
  </bookViews>
  <sheets>
    <sheet name="Picks importieren" sheetId="14" r:id="rId1"/>
    <sheet name="T0_Korrektur" sheetId="3" r:id="rId2"/>
    <sheet name="Laufzeitkurven" sheetId="10" r:id="rId3"/>
    <sheet name="Auswertung 2-Schicht" sheetId="5" r:id="rId4"/>
    <sheet name="Auswertung 3-Schicht" sheetId="11" r:id="rId5"/>
    <sheet name="Fit" sheetId="12" r:id="rId6"/>
    <sheet name="Berechnung" sheetId="1" r:id="rId7"/>
    <sheet name="Hilfsdaten" sheetId="4" r:id="rId8"/>
    <sheet name="Tabelle1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1" l="1"/>
  <c r="N11" i="11"/>
  <c r="N10" i="11"/>
  <c r="A5" i="4"/>
  <c r="AB5" i="4" s="1"/>
  <c r="AY5" i="4" s="1"/>
  <c r="A6" i="4"/>
  <c r="A7" i="4"/>
  <c r="A8" i="4"/>
  <c r="AA8" i="4" s="1"/>
  <c r="AX8" i="4" s="1"/>
  <c r="A9" i="4"/>
  <c r="AA9" i="4" s="1"/>
  <c r="AX9" i="4" s="1"/>
  <c r="A10" i="4"/>
  <c r="A11" i="4"/>
  <c r="A12" i="4"/>
  <c r="A13" i="4"/>
  <c r="C13" i="4" s="1"/>
  <c r="A14" i="4"/>
  <c r="A15" i="4"/>
  <c r="A16" i="4"/>
  <c r="A17" i="4"/>
  <c r="A18" i="4"/>
  <c r="A19" i="4"/>
  <c r="AR19" i="4" s="1"/>
  <c r="BM19" i="4" s="1"/>
  <c r="A20" i="4"/>
  <c r="AF20" i="4" s="1"/>
  <c r="A21" i="4"/>
  <c r="AF21" i="4" s="1"/>
  <c r="A22" i="4"/>
  <c r="A23" i="4"/>
  <c r="A24" i="4"/>
  <c r="A25" i="4"/>
  <c r="H25" i="4" s="1"/>
  <c r="S25" i="4" s="1"/>
  <c r="A26" i="4"/>
  <c r="A27" i="4"/>
  <c r="AS27" i="4" s="1"/>
  <c r="BN27" i="4" s="1"/>
  <c r="A28" i="4"/>
  <c r="A29" i="4"/>
  <c r="AR29" i="4" s="1"/>
  <c r="BM29" i="4" s="1"/>
  <c r="A30" i="4"/>
  <c r="A31" i="4"/>
  <c r="AI31" i="4" s="1"/>
  <c r="BE31" i="4" s="1"/>
  <c r="A32" i="4"/>
  <c r="AJ32" i="4" s="1"/>
  <c r="BF32" i="4" s="1"/>
  <c r="A33" i="4"/>
  <c r="A34" i="4"/>
  <c r="Y34" i="4" s="1"/>
  <c r="AV34" i="4" s="1"/>
  <c r="A35" i="4"/>
  <c r="H35" i="4" s="1"/>
  <c r="S35" i="4" s="1"/>
  <c r="A36" i="4"/>
  <c r="AB36" i="4" s="1"/>
  <c r="AY36" i="4" s="1"/>
  <c r="A37" i="4"/>
  <c r="AC37" i="4" s="1"/>
  <c r="AZ37" i="4" s="1"/>
  <c r="A38" i="4"/>
  <c r="A39" i="4"/>
  <c r="X39" i="4" s="1"/>
  <c r="A40" i="4"/>
  <c r="AL40" i="4" s="1"/>
  <c r="BH40" i="4" s="1"/>
  <c r="A41" i="4"/>
  <c r="A42" i="4"/>
  <c r="A43" i="4"/>
  <c r="AB43" i="4" s="1"/>
  <c r="AY43" i="4" s="1"/>
  <c r="A44" i="4"/>
  <c r="A45" i="4"/>
  <c r="AT45" i="4" s="1"/>
  <c r="BO45" i="4" s="1"/>
  <c r="A46" i="4"/>
  <c r="H46" i="4" s="1"/>
  <c r="S46" i="4" s="1"/>
  <c r="A47" i="4"/>
  <c r="A48" i="4"/>
  <c r="E48" i="4" s="1"/>
  <c r="P48" i="4" s="1"/>
  <c r="A49" i="4"/>
  <c r="A50" i="4"/>
  <c r="A51" i="4"/>
  <c r="J51" i="4" s="1"/>
  <c r="U51" i="4" s="1"/>
  <c r="A4" i="4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3" i="1"/>
  <c r="E4" i="14"/>
  <c r="D1" i="3"/>
  <c r="E1" i="3"/>
  <c r="F1" i="3"/>
  <c r="G1" i="3"/>
  <c r="H1" i="3"/>
  <c r="I1" i="3"/>
  <c r="I13" i="3" s="1"/>
  <c r="K13" i="1" s="1"/>
  <c r="J1" i="3"/>
  <c r="K1" i="3"/>
  <c r="K21" i="3" s="1"/>
  <c r="L21" i="1" s="1"/>
  <c r="L1" i="3"/>
  <c r="M1" i="3"/>
  <c r="M22" i="3" s="1"/>
  <c r="N1" i="3"/>
  <c r="O1" i="3"/>
  <c r="O38" i="3" s="1"/>
  <c r="Q38" i="1" s="1"/>
  <c r="O7" i="3"/>
  <c r="Q7" i="1" s="1"/>
  <c r="P1" i="3"/>
  <c r="C1" i="3"/>
  <c r="L5" i="3"/>
  <c r="N5" i="3"/>
  <c r="P5" i="3"/>
  <c r="L6" i="3"/>
  <c r="N6" i="3"/>
  <c r="P6" i="3"/>
  <c r="L7" i="3"/>
  <c r="N7" i="3"/>
  <c r="P7" i="3"/>
  <c r="L8" i="3"/>
  <c r="N8" i="3"/>
  <c r="P8" i="3"/>
  <c r="L9" i="3"/>
  <c r="N9" i="3"/>
  <c r="P9" i="3"/>
  <c r="L10" i="3"/>
  <c r="N10" i="3"/>
  <c r="P10" i="3"/>
  <c r="L11" i="3"/>
  <c r="N11" i="3"/>
  <c r="P11" i="3"/>
  <c r="L12" i="3"/>
  <c r="N12" i="3"/>
  <c r="P12" i="3"/>
  <c r="L13" i="3"/>
  <c r="N13" i="3"/>
  <c r="P13" i="3"/>
  <c r="L14" i="3"/>
  <c r="N14" i="3"/>
  <c r="P14" i="3"/>
  <c r="L15" i="3"/>
  <c r="N15" i="3"/>
  <c r="P15" i="3"/>
  <c r="L16" i="3"/>
  <c r="N16" i="3"/>
  <c r="P16" i="3"/>
  <c r="L17" i="3"/>
  <c r="N17" i="3"/>
  <c r="P17" i="3"/>
  <c r="L18" i="3"/>
  <c r="N18" i="3"/>
  <c r="P18" i="3"/>
  <c r="L19" i="3"/>
  <c r="N19" i="3"/>
  <c r="P19" i="3"/>
  <c r="L20" i="3"/>
  <c r="N20" i="3"/>
  <c r="P20" i="3"/>
  <c r="L21" i="3"/>
  <c r="N21" i="3"/>
  <c r="P21" i="3"/>
  <c r="L22" i="3"/>
  <c r="N22" i="3"/>
  <c r="O22" i="3"/>
  <c r="Q22" i="1" s="1"/>
  <c r="P22" i="3"/>
  <c r="L23" i="3"/>
  <c r="N23" i="3"/>
  <c r="P23" i="3"/>
  <c r="L24" i="3"/>
  <c r="N24" i="3"/>
  <c r="P24" i="3"/>
  <c r="L25" i="3"/>
  <c r="N25" i="3"/>
  <c r="P25" i="3"/>
  <c r="L26" i="3"/>
  <c r="N26" i="3"/>
  <c r="P26" i="3"/>
  <c r="L27" i="3"/>
  <c r="M27" i="3"/>
  <c r="BU28" i="4" s="1"/>
  <c r="N27" i="3"/>
  <c r="P27" i="3"/>
  <c r="L28" i="3"/>
  <c r="N28" i="3"/>
  <c r="P28" i="3"/>
  <c r="L29" i="3"/>
  <c r="N29" i="3"/>
  <c r="P29" i="3"/>
  <c r="L30" i="3"/>
  <c r="N30" i="3"/>
  <c r="P30" i="3"/>
  <c r="L31" i="3"/>
  <c r="N31" i="3"/>
  <c r="P31" i="3"/>
  <c r="L32" i="3"/>
  <c r="N32" i="3"/>
  <c r="P32" i="3"/>
  <c r="L33" i="3"/>
  <c r="N33" i="3"/>
  <c r="P33" i="3"/>
  <c r="L34" i="3"/>
  <c r="N34" i="3"/>
  <c r="P34" i="3"/>
  <c r="L35" i="3"/>
  <c r="N35" i="3"/>
  <c r="P35" i="3"/>
  <c r="L36" i="3"/>
  <c r="N36" i="3"/>
  <c r="P36" i="3"/>
  <c r="L37" i="3"/>
  <c r="N37" i="3"/>
  <c r="P37" i="3"/>
  <c r="L38" i="3"/>
  <c r="N38" i="3"/>
  <c r="P38" i="3"/>
  <c r="L39" i="3"/>
  <c r="N39" i="3"/>
  <c r="P39" i="3"/>
  <c r="L40" i="3"/>
  <c r="N40" i="3"/>
  <c r="P40" i="3"/>
  <c r="L41" i="3"/>
  <c r="N41" i="3"/>
  <c r="P41" i="3"/>
  <c r="L42" i="3"/>
  <c r="N42" i="3"/>
  <c r="P42" i="3"/>
  <c r="L43" i="3"/>
  <c r="N43" i="3"/>
  <c r="P43" i="3"/>
  <c r="L44" i="3"/>
  <c r="N44" i="3"/>
  <c r="P44" i="3"/>
  <c r="L45" i="3"/>
  <c r="N45" i="3"/>
  <c r="P45" i="3"/>
  <c r="L46" i="3"/>
  <c r="N46" i="3"/>
  <c r="P46" i="3"/>
  <c r="L47" i="3"/>
  <c r="N47" i="3"/>
  <c r="P47" i="3"/>
  <c r="L48" i="3"/>
  <c r="N48" i="3"/>
  <c r="P48" i="3"/>
  <c r="L49" i="3"/>
  <c r="N49" i="3"/>
  <c r="P49" i="3"/>
  <c r="L50" i="3"/>
  <c r="N50" i="3"/>
  <c r="P50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P4" i="3"/>
  <c r="P3" i="3"/>
  <c r="N4" i="3"/>
  <c r="N3" i="3"/>
  <c r="L4" i="3"/>
  <c r="L3" i="3"/>
  <c r="J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3" i="3"/>
  <c r="O43" i="3"/>
  <c r="Q43" i="1" s="1"/>
  <c r="M30" i="3"/>
  <c r="BU31" i="4" s="1"/>
  <c r="O6" i="3"/>
  <c r="Q6" i="1" s="1"/>
  <c r="O15" i="3"/>
  <c r="Q15" i="1" s="1"/>
  <c r="O42" i="3"/>
  <c r="Q42" i="1" s="1"/>
  <c r="M28" i="3"/>
  <c r="M32" i="3"/>
  <c r="P32" i="1" s="1"/>
  <c r="M48" i="3"/>
  <c r="P48" i="1" s="1"/>
  <c r="M9" i="3"/>
  <c r="P9" i="1" s="1"/>
  <c r="M6" i="3"/>
  <c r="P6" i="1" s="1"/>
  <c r="M21" i="3"/>
  <c r="BU22" i="4" s="1"/>
  <c r="P21" i="1"/>
  <c r="M31" i="3"/>
  <c r="P31" i="1" s="1"/>
  <c r="K37" i="3"/>
  <c r="L37" i="1" s="1"/>
  <c r="M29" i="3"/>
  <c r="P29" i="1" s="1"/>
  <c r="I31" i="3"/>
  <c r="K31" i="1" s="1"/>
  <c r="O25" i="3"/>
  <c r="Q25" i="1" s="1"/>
  <c r="O57" i="14"/>
  <c r="M57" i="14"/>
  <c r="K57" i="14"/>
  <c r="I57" i="14"/>
  <c r="O56" i="14"/>
  <c r="M56" i="14"/>
  <c r="K56" i="14"/>
  <c r="I56" i="14"/>
  <c r="O55" i="14"/>
  <c r="M55" i="14"/>
  <c r="K55" i="14"/>
  <c r="I55" i="14"/>
  <c r="O54" i="14"/>
  <c r="M54" i="14"/>
  <c r="K54" i="14"/>
  <c r="I54" i="14"/>
  <c r="O53" i="14"/>
  <c r="M53" i="14"/>
  <c r="K53" i="14"/>
  <c r="I53" i="14"/>
  <c r="O52" i="14"/>
  <c r="M52" i="14"/>
  <c r="K52" i="14"/>
  <c r="I52" i="14"/>
  <c r="O51" i="14"/>
  <c r="M51" i="14"/>
  <c r="K51" i="14"/>
  <c r="I51" i="14"/>
  <c r="H51" i="14"/>
  <c r="H50" i="3" s="1"/>
  <c r="G51" i="14"/>
  <c r="F51" i="14"/>
  <c r="F50" i="3" s="1"/>
  <c r="E51" i="14"/>
  <c r="D51" i="14"/>
  <c r="D50" i="3" s="1"/>
  <c r="C51" i="14"/>
  <c r="O50" i="14"/>
  <c r="M50" i="14"/>
  <c r="K50" i="14"/>
  <c r="I50" i="14"/>
  <c r="H50" i="14"/>
  <c r="H49" i="3" s="1"/>
  <c r="G50" i="14"/>
  <c r="F50" i="14"/>
  <c r="F49" i="3" s="1"/>
  <c r="E50" i="14"/>
  <c r="D50" i="14"/>
  <c r="D49" i="3" s="1"/>
  <c r="C50" i="14"/>
  <c r="O49" i="14"/>
  <c r="M49" i="14"/>
  <c r="K49" i="14"/>
  <c r="I49" i="14"/>
  <c r="H49" i="14"/>
  <c r="H48" i="3" s="1"/>
  <c r="G49" i="14"/>
  <c r="F49" i="14"/>
  <c r="F48" i="3" s="1"/>
  <c r="E49" i="14"/>
  <c r="D49" i="14"/>
  <c r="D48" i="3" s="1"/>
  <c r="C49" i="14"/>
  <c r="O48" i="14"/>
  <c r="M48" i="14"/>
  <c r="K48" i="14"/>
  <c r="I48" i="14"/>
  <c r="H48" i="14"/>
  <c r="H47" i="3" s="1"/>
  <c r="G48" i="14"/>
  <c r="F48" i="14"/>
  <c r="F47" i="3" s="1"/>
  <c r="E48" i="14"/>
  <c r="D48" i="14"/>
  <c r="D47" i="3" s="1"/>
  <c r="C48" i="14"/>
  <c r="O47" i="14"/>
  <c r="M47" i="14"/>
  <c r="K47" i="14"/>
  <c r="I47" i="14"/>
  <c r="H47" i="14"/>
  <c r="H46" i="3" s="1"/>
  <c r="G47" i="14"/>
  <c r="F47" i="14"/>
  <c r="F46" i="3" s="1"/>
  <c r="E47" i="14"/>
  <c r="D47" i="14"/>
  <c r="D46" i="3" s="1"/>
  <c r="C47" i="14"/>
  <c r="O46" i="14"/>
  <c r="M46" i="14"/>
  <c r="K46" i="14"/>
  <c r="I46" i="14"/>
  <c r="H46" i="14"/>
  <c r="H45" i="3" s="1"/>
  <c r="G46" i="14"/>
  <c r="F46" i="14"/>
  <c r="F45" i="3" s="1"/>
  <c r="AO46" i="4"/>
  <c r="BJ46" i="4" s="1"/>
  <c r="E46" i="14"/>
  <c r="D46" i="14"/>
  <c r="D45" i="3" s="1"/>
  <c r="C46" i="14"/>
  <c r="O45" i="14"/>
  <c r="M45" i="14"/>
  <c r="K45" i="14"/>
  <c r="I45" i="14"/>
  <c r="H45" i="14"/>
  <c r="H44" i="3" s="1"/>
  <c r="G45" i="14"/>
  <c r="F45" i="14"/>
  <c r="F44" i="3" s="1"/>
  <c r="E45" i="14"/>
  <c r="D45" i="14"/>
  <c r="D44" i="3" s="1"/>
  <c r="C45" i="14"/>
  <c r="O44" i="14"/>
  <c r="M44" i="14"/>
  <c r="K44" i="14"/>
  <c r="I44" i="14"/>
  <c r="H44" i="14"/>
  <c r="H43" i="3" s="1"/>
  <c r="G44" i="14"/>
  <c r="F44" i="14"/>
  <c r="F43" i="3" s="1"/>
  <c r="E44" i="14"/>
  <c r="D44" i="14"/>
  <c r="D43" i="3" s="1"/>
  <c r="C44" i="14"/>
  <c r="O43" i="14"/>
  <c r="M43" i="14"/>
  <c r="K43" i="14"/>
  <c r="I43" i="14"/>
  <c r="H43" i="14"/>
  <c r="H42" i="3" s="1"/>
  <c r="G43" i="14"/>
  <c r="F43" i="14"/>
  <c r="F42" i="3" s="1"/>
  <c r="E43" i="14"/>
  <c r="D43" i="14"/>
  <c r="D42" i="3" s="1"/>
  <c r="C43" i="14"/>
  <c r="O42" i="14"/>
  <c r="M42" i="14"/>
  <c r="K42" i="14"/>
  <c r="I42" i="14"/>
  <c r="H42" i="14"/>
  <c r="H41" i="3" s="1"/>
  <c r="G42" i="14"/>
  <c r="F42" i="14"/>
  <c r="F41" i="3" s="1"/>
  <c r="E42" i="14"/>
  <c r="D42" i="14"/>
  <c r="D41" i="3" s="1"/>
  <c r="C42" i="14"/>
  <c r="O41" i="14"/>
  <c r="M41" i="14"/>
  <c r="K41" i="14"/>
  <c r="I41" i="14"/>
  <c r="H41" i="14"/>
  <c r="H40" i="3" s="1"/>
  <c r="G41" i="14"/>
  <c r="F41" i="14"/>
  <c r="F40" i="3" s="1"/>
  <c r="E41" i="14"/>
  <c r="D41" i="14"/>
  <c r="D40" i="3" s="1"/>
  <c r="C41" i="14"/>
  <c r="O40" i="14"/>
  <c r="M40" i="14"/>
  <c r="K40" i="14"/>
  <c r="I40" i="14"/>
  <c r="H40" i="14"/>
  <c r="H39" i="3" s="1"/>
  <c r="G40" i="14"/>
  <c r="F40" i="14"/>
  <c r="F39" i="3" s="1"/>
  <c r="E40" i="14"/>
  <c r="D40" i="14"/>
  <c r="D39" i="3" s="1"/>
  <c r="C40" i="14"/>
  <c r="O39" i="14"/>
  <c r="M39" i="14"/>
  <c r="K39" i="14"/>
  <c r="I39" i="14"/>
  <c r="H39" i="14"/>
  <c r="H38" i="3" s="1"/>
  <c r="G39" i="14"/>
  <c r="F39" i="14"/>
  <c r="F38" i="3" s="1"/>
  <c r="E39" i="14"/>
  <c r="D39" i="14"/>
  <c r="D38" i="3" s="1"/>
  <c r="C39" i="14"/>
  <c r="O38" i="14"/>
  <c r="M38" i="14"/>
  <c r="K38" i="14"/>
  <c r="I38" i="14"/>
  <c r="H38" i="14"/>
  <c r="H37" i="3" s="1"/>
  <c r="G38" i="14"/>
  <c r="F38" i="14"/>
  <c r="F37" i="3" s="1"/>
  <c r="E38" i="14"/>
  <c r="D38" i="14"/>
  <c r="D37" i="3" s="1"/>
  <c r="X38" i="4"/>
  <c r="C38" i="14"/>
  <c r="O37" i="14"/>
  <c r="M37" i="14"/>
  <c r="K37" i="14"/>
  <c r="I37" i="14"/>
  <c r="H37" i="14"/>
  <c r="H36" i="3" s="1"/>
  <c r="G37" i="14"/>
  <c r="F37" i="14"/>
  <c r="F36" i="3" s="1"/>
  <c r="E37" i="14"/>
  <c r="D37" i="14"/>
  <c r="D36" i="3" s="1"/>
  <c r="C37" i="14"/>
  <c r="O36" i="14"/>
  <c r="M36" i="14"/>
  <c r="K36" i="14"/>
  <c r="I36" i="14"/>
  <c r="H36" i="14"/>
  <c r="H35" i="3" s="1"/>
  <c r="G36" i="14"/>
  <c r="F36" i="14"/>
  <c r="F35" i="3" s="1"/>
  <c r="E36" i="14"/>
  <c r="D36" i="14"/>
  <c r="D35" i="3" s="1"/>
  <c r="C36" i="14"/>
  <c r="O35" i="14"/>
  <c r="M35" i="14"/>
  <c r="K35" i="14"/>
  <c r="I35" i="14"/>
  <c r="H35" i="14"/>
  <c r="H34" i="3" s="1"/>
  <c r="G35" i="14"/>
  <c r="F35" i="14"/>
  <c r="F34" i="3" s="1"/>
  <c r="E35" i="14"/>
  <c r="D35" i="14"/>
  <c r="D34" i="3" s="1"/>
  <c r="C35" i="14"/>
  <c r="O34" i="14"/>
  <c r="M34" i="14"/>
  <c r="K34" i="14"/>
  <c r="I34" i="14"/>
  <c r="H34" i="14"/>
  <c r="H33" i="3" s="1"/>
  <c r="G34" i="14"/>
  <c r="F34" i="14"/>
  <c r="F33" i="3" s="1"/>
  <c r="E34" i="14"/>
  <c r="D34" i="14"/>
  <c r="D33" i="3" s="1"/>
  <c r="C34" i="14"/>
  <c r="O33" i="14"/>
  <c r="M33" i="14"/>
  <c r="K33" i="14"/>
  <c r="I33" i="14"/>
  <c r="H33" i="14"/>
  <c r="H32" i="3" s="1"/>
  <c r="G33" i="14"/>
  <c r="F33" i="14"/>
  <c r="F32" i="3" s="1"/>
  <c r="E33" i="14"/>
  <c r="D33" i="14"/>
  <c r="D32" i="3" s="1"/>
  <c r="C33" i="14"/>
  <c r="O32" i="14"/>
  <c r="M32" i="14"/>
  <c r="K32" i="14"/>
  <c r="I32" i="14"/>
  <c r="H32" i="14"/>
  <c r="H31" i="3" s="1"/>
  <c r="G32" i="14"/>
  <c r="F32" i="14"/>
  <c r="F31" i="3" s="1"/>
  <c r="E32" i="14"/>
  <c r="D32" i="14"/>
  <c r="D31" i="3" s="1"/>
  <c r="C32" i="14"/>
  <c r="O31" i="14"/>
  <c r="M31" i="14"/>
  <c r="K31" i="14"/>
  <c r="I31" i="14"/>
  <c r="H31" i="14"/>
  <c r="H30" i="3" s="1"/>
  <c r="G31" i="14"/>
  <c r="F31" i="14"/>
  <c r="F30" i="3" s="1"/>
  <c r="E31" i="14"/>
  <c r="D31" i="14"/>
  <c r="D30" i="3" s="1"/>
  <c r="C31" i="14"/>
  <c r="O30" i="14"/>
  <c r="M30" i="14"/>
  <c r="K30" i="14"/>
  <c r="I30" i="14"/>
  <c r="H30" i="14"/>
  <c r="H29" i="3" s="1"/>
  <c r="G30" i="14"/>
  <c r="F30" i="14"/>
  <c r="F29" i="3" s="1"/>
  <c r="E30" i="14"/>
  <c r="D30" i="14"/>
  <c r="D29" i="3" s="1"/>
  <c r="C30" i="14"/>
  <c r="O29" i="14"/>
  <c r="M29" i="14"/>
  <c r="K29" i="14"/>
  <c r="I29" i="14"/>
  <c r="H29" i="14"/>
  <c r="H28" i="3" s="1"/>
  <c r="G29" i="14"/>
  <c r="F29" i="14"/>
  <c r="F28" i="3" s="1"/>
  <c r="E29" i="14"/>
  <c r="D29" i="14"/>
  <c r="D28" i="3" s="1"/>
  <c r="C29" i="14"/>
  <c r="O28" i="14"/>
  <c r="M28" i="14"/>
  <c r="K28" i="14"/>
  <c r="I28" i="14"/>
  <c r="H28" i="14"/>
  <c r="H27" i="3" s="1"/>
  <c r="G28" i="14"/>
  <c r="F28" i="14"/>
  <c r="F27" i="3" s="1"/>
  <c r="E28" i="14"/>
  <c r="D28" i="14"/>
  <c r="D27" i="3" s="1"/>
  <c r="C28" i="14"/>
  <c r="O27" i="14"/>
  <c r="M27" i="14"/>
  <c r="K27" i="14"/>
  <c r="I27" i="14"/>
  <c r="H27" i="14"/>
  <c r="H26" i="3" s="1"/>
  <c r="G27" i="14"/>
  <c r="F27" i="14"/>
  <c r="F26" i="3" s="1"/>
  <c r="E27" i="14"/>
  <c r="D27" i="14"/>
  <c r="D26" i="3" s="1"/>
  <c r="C27" i="14"/>
  <c r="O26" i="14"/>
  <c r="M26" i="14"/>
  <c r="K26" i="14"/>
  <c r="I26" i="14"/>
  <c r="H26" i="14"/>
  <c r="H25" i="3" s="1"/>
  <c r="G26" i="14"/>
  <c r="F26" i="14"/>
  <c r="F25" i="3" s="1"/>
  <c r="E26" i="14"/>
  <c r="D26" i="14"/>
  <c r="D25" i="3" s="1"/>
  <c r="C26" i="14"/>
  <c r="O25" i="14"/>
  <c r="M25" i="14"/>
  <c r="K25" i="14"/>
  <c r="I25" i="14"/>
  <c r="H25" i="14"/>
  <c r="H24" i="3" s="1"/>
  <c r="G25" i="14"/>
  <c r="F25" i="14"/>
  <c r="F24" i="3" s="1"/>
  <c r="E25" i="14"/>
  <c r="D25" i="14"/>
  <c r="D24" i="3" s="1"/>
  <c r="C25" i="14"/>
  <c r="O24" i="14"/>
  <c r="M24" i="14"/>
  <c r="K24" i="14"/>
  <c r="I24" i="14"/>
  <c r="H24" i="14"/>
  <c r="H23" i="3" s="1"/>
  <c r="G24" i="14"/>
  <c r="F24" i="14"/>
  <c r="F23" i="3" s="1"/>
  <c r="E24" i="14"/>
  <c r="D24" i="14"/>
  <c r="D23" i="3" s="1"/>
  <c r="C24" i="14"/>
  <c r="O23" i="14"/>
  <c r="M23" i="14"/>
  <c r="K23" i="14"/>
  <c r="I23" i="14"/>
  <c r="H23" i="14"/>
  <c r="H22" i="3" s="1"/>
  <c r="G23" i="14"/>
  <c r="F23" i="14"/>
  <c r="F22" i="3" s="1"/>
  <c r="E23" i="14"/>
  <c r="D23" i="14"/>
  <c r="D22" i="3" s="1"/>
  <c r="C23" i="14"/>
  <c r="O22" i="14"/>
  <c r="M22" i="14"/>
  <c r="K22" i="14"/>
  <c r="I22" i="14"/>
  <c r="H22" i="14"/>
  <c r="H21" i="3" s="1"/>
  <c r="G22" i="14"/>
  <c r="F22" i="14"/>
  <c r="F21" i="3" s="1"/>
  <c r="E22" i="14"/>
  <c r="D22" i="14"/>
  <c r="D21" i="3" s="1"/>
  <c r="C22" i="14"/>
  <c r="O21" i="14"/>
  <c r="M21" i="14"/>
  <c r="K21" i="14"/>
  <c r="I21" i="14"/>
  <c r="H21" i="14"/>
  <c r="H20" i="3" s="1"/>
  <c r="G21" i="14"/>
  <c r="F21" i="14"/>
  <c r="F20" i="3" s="1"/>
  <c r="E21" i="14"/>
  <c r="D21" i="14"/>
  <c r="D20" i="3" s="1"/>
  <c r="C21" i="14"/>
  <c r="O20" i="14"/>
  <c r="M20" i="14"/>
  <c r="K20" i="14"/>
  <c r="I20" i="14"/>
  <c r="H20" i="14"/>
  <c r="H19" i="3" s="1"/>
  <c r="G20" i="14"/>
  <c r="F20" i="14"/>
  <c r="F19" i="3" s="1"/>
  <c r="E20" i="14"/>
  <c r="D20" i="14"/>
  <c r="D19" i="3" s="1"/>
  <c r="C20" i="14"/>
  <c r="O19" i="14"/>
  <c r="M19" i="14"/>
  <c r="K19" i="14"/>
  <c r="I19" i="14"/>
  <c r="H19" i="14"/>
  <c r="H18" i="3" s="1"/>
  <c r="G19" i="14"/>
  <c r="F19" i="14"/>
  <c r="F18" i="3" s="1"/>
  <c r="E19" i="14"/>
  <c r="D19" i="14"/>
  <c r="D18" i="3" s="1"/>
  <c r="C19" i="14"/>
  <c r="O18" i="14"/>
  <c r="M18" i="14"/>
  <c r="K18" i="14"/>
  <c r="I18" i="14"/>
  <c r="H18" i="14"/>
  <c r="H17" i="3" s="1"/>
  <c r="G18" i="14"/>
  <c r="F18" i="14"/>
  <c r="F17" i="3" s="1"/>
  <c r="E18" i="14"/>
  <c r="D18" i="14"/>
  <c r="D17" i="3" s="1"/>
  <c r="C18" i="14"/>
  <c r="O17" i="14"/>
  <c r="M17" i="14"/>
  <c r="K17" i="14"/>
  <c r="I17" i="14"/>
  <c r="H17" i="14"/>
  <c r="H16" i="3" s="1"/>
  <c r="G17" i="14"/>
  <c r="F17" i="14"/>
  <c r="F16" i="3" s="1"/>
  <c r="E17" i="14"/>
  <c r="D17" i="14"/>
  <c r="D16" i="3" s="1"/>
  <c r="C17" i="14"/>
  <c r="O16" i="14"/>
  <c r="M16" i="14"/>
  <c r="K16" i="14"/>
  <c r="I16" i="14"/>
  <c r="H16" i="14"/>
  <c r="H15" i="3" s="1"/>
  <c r="G16" i="14"/>
  <c r="F16" i="14"/>
  <c r="F15" i="3" s="1"/>
  <c r="E16" i="14"/>
  <c r="D16" i="14"/>
  <c r="D15" i="3" s="1"/>
  <c r="C16" i="14"/>
  <c r="O15" i="14"/>
  <c r="M15" i="14"/>
  <c r="K15" i="14"/>
  <c r="I15" i="14"/>
  <c r="H15" i="14"/>
  <c r="H14" i="3" s="1"/>
  <c r="G15" i="14"/>
  <c r="F15" i="14"/>
  <c r="F14" i="3" s="1"/>
  <c r="E15" i="14"/>
  <c r="D15" i="14"/>
  <c r="D14" i="3" s="1"/>
  <c r="C15" i="14"/>
  <c r="O14" i="14"/>
  <c r="M14" i="14"/>
  <c r="K14" i="14"/>
  <c r="I14" i="14"/>
  <c r="H14" i="14"/>
  <c r="H13" i="3" s="1"/>
  <c r="G14" i="14"/>
  <c r="F14" i="14"/>
  <c r="F13" i="3" s="1"/>
  <c r="E14" i="14"/>
  <c r="D14" i="14"/>
  <c r="D13" i="3" s="1"/>
  <c r="C14" i="14"/>
  <c r="O13" i="14"/>
  <c r="M13" i="14"/>
  <c r="K13" i="14"/>
  <c r="I13" i="14"/>
  <c r="H13" i="14"/>
  <c r="H12" i="3" s="1"/>
  <c r="G13" i="14"/>
  <c r="F13" i="14"/>
  <c r="F12" i="3" s="1"/>
  <c r="E13" i="14"/>
  <c r="D13" i="14"/>
  <c r="D12" i="3" s="1"/>
  <c r="C13" i="14"/>
  <c r="O12" i="14"/>
  <c r="M12" i="14"/>
  <c r="K12" i="14"/>
  <c r="I12" i="14"/>
  <c r="H12" i="14"/>
  <c r="H11" i="3" s="1"/>
  <c r="G12" i="14"/>
  <c r="F12" i="14"/>
  <c r="F11" i="3" s="1"/>
  <c r="E12" i="14"/>
  <c r="D12" i="14"/>
  <c r="D11" i="3" s="1"/>
  <c r="C12" i="14"/>
  <c r="O11" i="14"/>
  <c r="M11" i="14"/>
  <c r="K11" i="14"/>
  <c r="I11" i="14"/>
  <c r="H11" i="14"/>
  <c r="H10" i="3" s="1"/>
  <c r="G11" i="14"/>
  <c r="F11" i="14"/>
  <c r="F10" i="3" s="1"/>
  <c r="E11" i="14"/>
  <c r="D11" i="14"/>
  <c r="D10" i="3" s="1"/>
  <c r="C11" i="14"/>
  <c r="O10" i="14"/>
  <c r="M10" i="14"/>
  <c r="K10" i="14"/>
  <c r="I10" i="14"/>
  <c r="H10" i="14"/>
  <c r="H9" i="3" s="1"/>
  <c r="G10" i="14"/>
  <c r="F10" i="14"/>
  <c r="F9" i="3" s="1"/>
  <c r="E10" i="14"/>
  <c r="D10" i="14"/>
  <c r="D9" i="3" s="1"/>
  <c r="C10" i="14"/>
  <c r="O9" i="14"/>
  <c r="M9" i="14"/>
  <c r="K9" i="14"/>
  <c r="I9" i="14"/>
  <c r="H9" i="14"/>
  <c r="H8" i="3" s="1"/>
  <c r="G9" i="14"/>
  <c r="F9" i="14"/>
  <c r="F8" i="3" s="1"/>
  <c r="E9" i="14"/>
  <c r="D9" i="14"/>
  <c r="D8" i="3" s="1"/>
  <c r="C9" i="14"/>
  <c r="O8" i="14"/>
  <c r="M8" i="14"/>
  <c r="K8" i="14"/>
  <c r="I8" i="14"/>
  <c r="H8" i="14"/>
  <c r="H7" i="3" s="1"/>
  <c r="G8" i="14"/>
  <c r="F8" i="14"/>
  <c r="F7" i="3" s="1"/>
  <c r="E8" i="14"/>
  <c r="D8" i="14"/>
  <c r="D7" i="3" s="1"/>
  <c r="C8" i="14"/>
  <c r="O7" i="14"/>
  <c r="M7" i="14"/>
  <c r="K7" i="14"/>
  <c r="I7" i="14"/>
  <c r="H7" i="14"/>
  <c r="H6" i="3" s="1"/>
  <c r="G7" i="14"/>
  <c r="F7" i="14"/>
  <c r="F6" i="3" s="1"/>
  <c r="E7" i="14"/>
  <c r="D7" i="14"/>
  <c r="D6" i="3" s="1"/>
  <c r="C7" i="14"/>
  <c r="O6" i="14"/>
  <c r="M6" i="14"/>
  <c r="K6" i="14"/>
  <c r="I6" i="14"/>
  <c r="H6" i="14"/>
  <c r="H5" i="3" s="1"/>
  <c r="G6" i="14"/>
  <c r="F6" i="14"/>
  <c r="F5" i="3" s="1"/>
  <c r="E6" i="14"/>
  <c r="D6" i="14"/>
  <c r="D5" i="3" s="1"/>
  <c r="C6" i="14"/>
  <c r="O5" i="14"/>
  <c r="M5" i="14"/>
  <c r="K5" i="14"/>
  <c r="I5" i="14"/>
  <c r="H5" i="14"/>
  <c r="H4" i="3" s="1"/>
  <c r="G5" i="14"/>
  <c r="F5" i="14"/>
  <c r="F4" i="3" s="1"/>
  <c r="E5" i="14"/>
  <c r="D5" i="14"/>
  <c r="D4" i="3" s="1"/>
  <c r="C5" i="14"/>
  <c r="O4" i="14"/>
  <c r="M4" i="14"/>
  <c r="K4" i="14"/>
  <c r="I4" i="14"/>
  <c r="H4" i="14"/>
  <c r="H3" i="3" s="1"/>
  <c r="G4" i="14"/>
  <c r="F4" i="14"/>
  <c r="F3" i="3" s="1"/>
  <c r="D4" i="14"/>
  <c r="D3" i="3" s="1"/>
  <c r="C4" i="14"/>
  <c r="U1" i="11"/>
  <c r="U1" i="5"/>
  <c r="AS14" i="4"/>
  <c r="BN14" i="4" s="1"/>
  <c r="AQ37" i="4"/>
  <c r="BL37" i="4" s="1"/>
  <c r="AQ6" i="4"/>
  <c r="BL6" i="4" s="1"/>
  <c r="Y38" i="4"/>
  <c r="AV38" i="4" s="1"/>
  <c r="J5" i="11"/>
  <c r="K5" i="11"/>
  <c r="AL48" i="4"/>
  <c r="BH48" i="4" s="1"/>
  <c r="AL42" i="4"/>
  <c r="BH42" i="4" s="1"/>
  <c r="AL41" i="4"/>
  <c r="BH41" i="4" s="1"/>
  <c r="AL37" i="4"/>
  <c r="BH37" i="4" s="1"/>
  <c r="AL25" i="4"/>
  <c r="BH25" i="4" s="1"/>
  <c r="AL23" i="4"/>
  <c r="BH23" i="4" s="1"/>
  <c r="AJ50" i="4"/>
  <c r="BF50" i="4" s="1"/>
  <c r="AJ47" i="4"/>
  <c r="BF47" i="4" s="1"/>
  <c r="AJ44" i="4"/>
  <c r="BF44" i="4" s="1"/>
  <c r="AJ42" i="4"/>
  <c r="BF42" i="4" s="1"/>
  <c r="AJ41" i="4"/>
  <c r="BF41" i="4" s="1"/>
  <c r="AJ40" i="4"/>
  <c r="BF40" i="4" s="1"/>
  <c r="AJ38" i="4"/>
  <c r="BF38" i="4" s="1"/>
  <c r="AJ37" i="4"/>
  <c r="BF37" i="4" s="1"/>
  <c r="AJ28" i="4"/>
  <c r="BF28" i="4" s="1"/>
  <c r="AJ26" i="4"/>
  <c r="BF26" i="4" s="1"/>
  <c r="AJ18" i="4"/>
  <c r="BF18" i="4" s="1"/>
  <c r="AJ17" i="4"/>
  <c r="BF17" i="4" s="1"/>
  <c r="AB15" i="4"/>
  <c r="AY15" i="4" s="1"/>
  <c r="AJ14" i="4"/>
  <c r="BF14" i="4" s="1"/>
  <c r="AJ12" i="4"/>
  <c r="BF12" i="4" s="1"/>
  <c r="AB11" i="4"/>
  <c r="AY11" i="4" s="1"/>
  <c r="AB10" i="4"/>
  <c r="AY10" i="4" s="1"/>
  <c r="AB9" i="4"/>
  <c r="AY9" i="4" s="1"/>
  <c r="AB6" i="4"/>
  <c r="AY6" i="4" s="1"/>
  <c r="AI50" i="4"/>
  <c r="BE50" i="4" s="1"/>
  <c r="AA49" i="4"/>
  <c r="AX49" i="4" s="1"/>
  <c r="AA48" i="4"/>
  <c r="AX48" i="4" s="1"/>
  <c r="AA47" i="4"/>
  <c r="AX47" i="4" s="1"/>
  <c r="AA46" i="4"/>
  <c r="AX46" i="4" s="1"/>
  <c r="AI43" i="4"/>
  <c r="BE43" i="4" s="1"/>
  <c r="AI42" i="4"/>
  <c r="BE42" i="4" s="1"/>
  <c r="AI37" i="4"/>
  <c r="BE37" i="4" s="1"/>
  <c r="BT32" i="4"/>
  <c r="AI26" i="4"/>
  <c r="BE26" i="4" s="1"/>
  <c r="AI22" i="4"/>
  <c r="BE22" i="4" s="1"/>
  <c r="AI18" i="4"/>
  <c r="BE18" i="4" s="1"/>
  <c r="BT14" i="4"/>
  <c r="AI13" i="4"/>
  <c r="BE13" i="4" s="1"/>
  <c r="AI12" i="4"/>
  <c r="BE12" i="4" s="1"/>
  <c r="AI11" i="4"/>
  <c r="BE11" i="4" s="1"/>
  <c r="AI7" i="4"/>
  <c r="BE7" i="4" s="1"/>
  <c r="AI6" i="4"/>
  <c r="BE6" i="4" s="1"/>
  <c r="Z26" i="4"/>
  <c r="AW26" i="4" s="1"/>
  <c r="W17" i="4"/>
  <c r="AL8" i="4"/>
  <c r="BH8" i="4" s="1"/>
  <c r="Y5" i="4"/>
  <c r="AV5" i="4" s="1"/>
  <c r="AC5" i="4"/>
  <c r="AZ5" i="4" s="1"/>
  <c r="AF5" i="4"/>
  <c r="AN5" i="4"/>
  <c r="AQ5" i="4"/>
  <c r="BL5" i="4" s="1"/>
  <c r="X6" i="4"/>
  <c r="Y6" i="4"/>
  <c r="AV6" i="4" s="1"/>
  <c r="AA6" i="4"/>
  <c r="AX6" i="4" s="1"/>
  <c r="AC6" i="4"/>
  <c r="AZ6" i="4" s="1"/>
  <c r="AD6" i="4"/>
  <c r="BA6" i="4" s="1"/>
  <c r="AF6" i="4"/>
  <c r="AJ6" i="4"/>
  <c r="BF6" i="4" s="1"/>
  <c r="AN6" i="4"/>
  <c r="AP6" i="4"/>
  <c r="BK6" i="4" s="1"/>
  <c r="AR6" i="4"/>
  <c r="BM6" i="4" s="1"/>
  <c r="X7" i="4"/>
  <c r="Y7" i="4"/>
  <c r="AV7" i="4" s="1"/>
  <c r="AA7" i="4"/>
  <c r="AX7" i="4" s="1"/>
  <c r="AC7" i="4"/>
  <c r="AZ7" i="4" s="1"/>
  <c r="AD7" i="4"/>
  <c r="BA7" i="4" s="1"/>
  <c r="AF7" i="4"/>
  <c r="AL7" i="4"/>
  <c r="BH7" i="4" s="1"/>
  <c r="AN7" i="4"/>
  <c r="AP7" i="4"/>
  <c r="BK7" i="4" s="1"/>
  <c r="AR7" i="4"/>
  <c r="BM7" i="4" s="1"/>
  <c r="X8" i="4"/>
  <c r="Y8" i="4"/>
  <c r="AV8" i="4" s="1"/>
  <c r="AC8" i="4"/>
  <c r="AZ8" i="4" s="1"/>
  <c r="AD8" i="4"/>
  <c r="BA8" i="4" s="1"/>
  <c r="AF8" i="4"/>
  <c r="AN8" i="4"/>
  <c r="AP8" i="4"/>
  <c r="BK8" i="4" s="1"/>
  <c r="AR8" i="4"/>
  <c r="BM8" i="4" s="1"/>
  <c r="X9" i="4"/>
  <c r="Y9" i="4"/>
  <c r="AV9" i="4" s="1"/>
  <c r="AD9" i="4"/>
  <c r="BA9" i="4" s="1"/>
  <c r="AF9" i="4"/>
  <c r="AL9" i="4"/>
  <c r="BH9" i="4" s="1"/>
  <c r="AN9" i="4"/>
  <c r="AP9" i="4"/>
  <c r="BK9" i="4" s="1"/>
  <c r="AR9" i="4"/>
  <c r="BM9" i="4" s="1"/>
  <c r="AT9" i="4"/>
  <c r="BO9" i="4" s="1"/>
  <c r="X10" i="4"/>
  <c r="Y10" i="4"/>
  <c r="AV10" i="4" s="1"/>
  <c r="AA10" i="4"/>
  <c r="AX10" i="4" s="1"/>
  <c r="AC10" i="4"/>
  <c r="AZ10" i="4" s="1"/>
  <c r="AD10" i="4"/>
  <c r="BA10" i="4" s="1"/>
  <c r="AF10" i="4"/>
  <c r="AN10" i="4"/>
  <c r="AR10" i="4"/>
  <c r="BM10" i="4" s="1"/>
  <c r="X11" i="4"/>
  <c r="Y11" i="4"/>
  <c r="AV11" i="4" s="1"/>
  <c r="AA11" i="4"/>
  <c r="AX11" i="4" s="1"/>
  <c r="AC11" i="4"/>
  <c r="AZ11" i="4" s="1"/>
  <c r="AD11" i="4"/>
  <c r="BA11" i="4" s="1"/>
  <c r="AF11" i="4"/>
  <c r="AK11" i="4"/>
  <c r="BG11" i="4" s="1"/>
  <c r="AR11" i="4"/>
  <c r="BM11" i="4" s="1"/>
  <c r="AT11" i="4"/>
  <c r="BO11" i="4" s="1"/>
  <c r="W12" i="4"/>
  <c r="X12" i="4"/>
  <c r="Y12" i="4"/>
  <c r="AV12" i="4" s="1"/>
  <c r="AA12" i="4"/>
  <c r="AX12" i="4" s="1"/>
  <c r="AB12" i="4"/>
  <c r="AY12" i="4" s="1"/>
  <c r="AC12" i="4"/>
  <c r="AZ12" i="4" s="1"/>
  <c r="AD12" i="4"/>
  <c r="BA12" i="4" s="1"/>
  <c r="AF12" i="4"/>
  <c r="AN12" i="4"/>
  <c r="AR12" i="4"/>
  <c r="BM12" i="4" s="1"/>
  <c r="X13" i="4"/>
  <c r="AB13" i="4"/>
  <c r="AY13" i="4" s="1"/>
  <c r="AD13" i="4"/>
  <c r="BA13" i="4" s="1"/>
  <c r="AN13" i="4"/>
  <c r="X14" i="4"/>
  <c r="Y14" i="4"/>
  <c r="AV14" i="4" s="1"/>
  <c r="AA14" i="4"/>
  <c r="AX14" i="4" s="1"/>
  <c r="AB14" i="4"/>
  <c r="AY14" i="4" s="1"/>
  <c r="AF14" i="4"/>
  <c r="AK14" i="4"/>
  <c r="BG14" i="4" s="1"/>
  <c r="AN14" i="4"/>
  <c r="AT14" i="4"/>
  <c r="BO14" i="4" s="1"/>
  <c r="X15" i="4"/>
  <c r="Y15" i="4"/>
  <c r="AV15" i="4" s="1"/>
  <c r="AA15" i="4"/>
  <c r="AX15" i="4" s="1"/>
  <c r="AC15" i="4"/>
  <c r="AZ15" i="4" s="1"/>
  <c r="AD15" i="4"/>
  <c r="BA15" i="4" s="1"/>
  <c r="AF15" i="4"/>
  <c r="AL15" i="4"/>
  <c r="BH15" i="4" s="1"/>
  <c r="AN15" i="4"/>
  <c r="X16" i="4"/>
  <c r="AA16" i="4"/>
  <c r="AX16" i="4" s="1"/>
  <c r="AC16" i="4"/>
  <c r="AZ16" i="4" s="1"/>
  <c r="AD16" i="4"/>
  <c r="BA16" i="4" s="1"/>
  <c r="AF16" i="4"/>
  <c r="AN16" i="4"/>
  <c r="AR16" i="4"/>
  <c r="BM16" i="4" s="1"/>
  <c r="X17" i="4"/>
  <c r="Y17" i="4"/>
  <c r="AV17" i="4" s="1"/>
  <c r="AA17" i="4"/>
  <c r="AX17" i="4" s="1"/>
  <c r="AB17" i="4"/>
  <c r="AY17" i="4" s="1"/>
  <c r="AC17" i="4"/>
  <c r="AZ17" i="4" s="1"/>
  <c r="AD17" i="4"/>
  <c r="BA17" i="4" s="1"/>
  <c r="AF17" i="4"/>
  <c r="AL17" i="4"/>
  <c r="BH17" i="4" s="1"/>
  <c r="AN17" i="4"/>
  <c r="X18" i="4"/>
  <c r="Y18" i="4"/>
  <c r="AV18" i="4" s="1"/>
  <c r="AA18" i="4"/>
  <c r="AX18" i="4" s="1"/>
  <c r="AB18" i="4"/>
  <c r="AY18" i="4" s="1"/>
  <c r="AC18" i="4"/>
  <c r="AZ18" i="4" s="1"/>
  <c r="AD18" i="4"/>
  <c r="BA18" i="4" s="1"/>
  <c r="AF18" i="4"/>
  <c r="AN18" i="4"/>
  <c r="AQ18" i="4"/>
  <c r="BL18" i="4" s="1"/>
  <c r="Y19" i="4"/>
  <c r="AV19" i="4" s="1"/>
  <c r="AA19" i="4"/>
  <c r="AX19" i="4" s="1"/>
  <c r="AB19" i="4"/>
  <c r="AY19" i="4" s="1"/>
  <c r="AC19" i="4"/>
  <c r="AZ19" i="4" s="1"/>
  <c r="AD19" i="4"/>
  <c r="BA19" i="4" s="1"/>
  <c r="AF19" i="4"/>
  <c r="AN19" i="4"/>
  <c r="AT19" i="4"/>
  <c r="BO19" i="4" s="1"/>
  <c r="AN20" i="4"/>
  <c r="X22" i="4"/>
  <c r="Y22" i="4"/>
  <c r="AV22" i="4" s="1"/>
  <c r="AC22" i="4"/>
  <c r="AZ22" i="4" s="1"/>
  <c r="X25" i="4"/>
  <c r="Y25" i="4"/>
  <c r="AV25" i="4" s="1"/>
  <c r="AA25" i="4"/>
  <c r="AX25" i="4" s="1"/>
  <c r="AB25" i="4"/>
  <c r="AY25" i="4" s="1"/>
  <c r="AC25" i="4"/>
  <c r="AZ25" i="4" s="1"/>
  <c r="AD25" i="4"/>
  <c r="BA25" i="4" s="1"/>
  <c r="X26" i="4"/>
  <c r="Y26" i="4"/>
  <c r="AV26" i="4" s="1"/>
  <c r="AA26" i="4"/>
  <c r="AX26" i="4" s="1"/>
  <c r="AB26" i="4"/>
  <c r="AY26" i="4" s="1"/>
  <c r="AC26" i="4"/>
  <c r="AZ26" i="4" s="1"/>
  <c r="AD26" i="4"/>
  <c r="BA26" i="4" s="1"/>
  <c r="AF26" i="4"/>
  <c r="AM26" i="4"/>
  <c r="AN26" i="4"/>
  <c r="AQ26" i="4"/>
  <c r="BL26" i="4" s="1"/>
  <c r="AR26" i="4"/>
  <c r="BM26" i="4" s="1"/>
  <c r="X27" i="4"/>
  <c r="AA27" i="4"/>
  <c r="AX27" i="4" s="1"/>
  <c r="AB27" i="4"/>
  <c r="AY27" i="4" s="1"/>
  <c r="AC27" i="4"/>
  <c r="AZ27" i="4" s="1"/>
  <c r="AD27" i="4"/>
  <c r="BA27" i="4" s="1"/>
  <c r="AF27" i="4"/>
  <c r="AM27" i="4"/>
  <c r="AN27" i="4"/>
  <c r="AQ27" i="4"/>
  <c r="BL27" i="4" s="1"/>
  <c r="AM28" i="4"/>
  <c r="AC29" i="4"/>
  <c r="AZ29" i="4" s="1"/>
  <c r="AF29" i="4"/>
  <c r="AA30" i="4"/>
  <c r="AX30" i="4" s="1"/>
  <c r="AB30" i="4"/>
  <c r="AY30" i="4" s="1"/>
  <c r="AC30" i="4"/>
  <c r="AZ30" i="4" s="1"/>
  <c r="AD30" i="4"/>
  <c r="BA30" i="4" s="1"/>
  <c r="AE30" i="4"/>
  <c r="W32" i="4"/>
  <c r="Z37" i="4"/>
  <c r="AW37" i="4" s="1"/>
  <c r="AB37" i="4"/>
  <c r="AY37" i="4" s="1"/>
  <c r="AD37" i="4"/>
  <c r="BA37" i="4" s="1"/>
  <c r="AM37" i="4"/>
  <c r="W38" i="4"/>
  <c r="Z38" i="4"/>
  <c r="AW38" i="4" s="1"/>
  <c r="AA38" i="4"/>
  <c r="AX38" i="4" s="1"/>
  <c r="AB38" i="4"/>
  <c r="AY38" i="4" s="1"/>
  <c r="AC38" i="4"/>
  <c r="AZ38" i="4" s="1"/>
  <c r="AD38" i="4"/>
  <c r="BA38" i="4" s="1"/>
  <c r="AE38" i="4"/>
  <c r="AL38" i="4"/>
  <c r="BH38" i="4" s="1"/>
  <c r="AM38" i="4"/>
  <c r="AT38" i="4"/>
  <c r="BO38" i="4" s="1"/>
  <c r="W39" i="4"/>
  <c r="Z39" i="4"/>
  <c r="AW39" i="4" s="1"/>
  <c r="AA39" i="4"/>
  <c r="AX39" i="4" s="1"/>
  <c r="AB39" i="4"/>
  <c r="AY39" i="4" s="1"/>
  <c r="AC39" i="4"/>
  <c r="AZ39" i="4" s="1"/>
  <c r="AD39" i="4"/>
  <c r="BA39" i="4" s="1"/>
  <c r="AE39" i="4"/>
  <c r="AM39" i="4"/>
  <c r="W40" i="4"/>
  <c r="Z40" i="4"/>
  <c r="AW40" i="4" s="1"/>
  <c r="AA40" i="4"/>
  <c r="AX40" i="4" s="1"/>
  <c r="AB40" i="4"/>
  <c r="AY40" i="4" s="1"/>
  <c r="AC40" i="4"/>
  <c r="AZ40" i="4" s="1"/>
  <c r="AD40" i="4"/>
  <c r="BA40" i="4" s="1"/>
  <c r="AE40" i="4"/>
  <c r="AM40" i="4"/>
  <c r="W41" i="4"/>
  <c r="Z41" i="4"/>
  <c r="AW41" i="4" s="1"/>
  <c r="AA41" i="4"/>
  <c r="AX41" i="4" s="1"/>
  <c r="AB41" i="4"/>
  <c r="AY41" i="4" s="1"/>
  <c r="AC41" i="4"/>
  <c r="AZ41" i="4" s="1"/>
  <c r="AD41" i="4"/>
  <c r="BA41" i="4" s="1"/>
  <c r="AE41" i="4"/>
  <c r="AM41" i="4"/>
  <c r="W42" i="4"/>
  <c r="Z42" i="4"/>
  <c r="AW42" i="4" s="1"/>
  <c r="AA42" i="4"/>
  <c r="AX42" i="4" s="1"/>
  <c r="AB42" i="4"/>
  <c r="AY42" i="4" s="1"/>
  <c r="AC42" i="4"/>
  <c r="AZ42" i="4" s="1"/>
  <c r="AD42" i="4"/>
  <c r="BA42" i="4" s="1"/>
  <c r="AE42" i="4"/>
  <c r="AM42" i="4"/>
  <c r="AT42" i="4"/>
  <c r="BO42" i="4" s="1"/>
  <c r="W43" i="4"/>
  <c r="Z43" i="4"/>
  <c r="AW43" i="4" s="1"/>
  <c r="AA43" i="4"/>
  <c r="AX43" i="4" s="1"/>
  <c r="AD43" i="4"/>
  <c r="BA43" i="4" s="1"/>
  <c r="AE43" i="4"/>
  <c r="AL43" i="4"/>
  <c r="BH43" i="4" s="1"/>
  <c r="AM43" i="4"/>
  <c r="AT43" i="4"/>
  <c r="BO43" i="4" s="1"/>
  <c r="W44" i="4"/>
  <c r="Z44" i="4"/>
  <c r="AW44" i="4" s="1"/>
  <c r="AA44" i="4"/>
  <c r="AX44" i="4" s="1"/>
  <c r="AB44" i="4"/>
  <c r="AY44" i="4" s="1"/>
  <c r="AC44" i="4"/>
  <c r="AZ44" i="4" s="1"/>
  <c r="AD44" i="4"/>
  <c r="BA44" i="4" s="1"/>
  <c r="AE44" i="4"/>
  <c r="AL44" i="4"/>
  <c r="BH44" i="4" s="1"/>
  <c r="AM44" i="4"/>
  <c r="AB45" i="4"/>
  <c r="AY45" i="4" s="1"/>
  <c r="AD45" i="4"/>
  <c r="BA45" i="4" s="1"/>
  <c r="AL45" i="4"/>
  <c r="BH45" i="4" s="1"/>
  <c r="AQ45" i="4"/>
  <c r="BL45" i="4" s="1"/>
  <c r="Z46" i="4"/>
  <c r="AW46" i="4" s="1"/>
  <c r="AB46" i="4"/>
  <c r="AY46" i="4" s="1"/>
  <c r="AC46" i="4"/>
  <c r="AZ46" i="4" s="1"/>
  <c r="AD46" i="4"/>
  <c r="BA46" i="4" s="1"/>
  <c r="AE46" i="4"/>
  <c r="AL46" i="4"/>
  <c r="BH46" i="4" s="1"/>
  <c r="AM46" i="4"/>
  <c r="W47" i="4"/>
  <c r="Z47" i="4"/>
  <c r="AW47" i="4" s="1"/>
  <c r="AB47" i="4"/>
  <c r="AY47" i="4" s="1"/>
  <c r="AC47" i="4"/>
  <c r="AZ47" i="4" s="1"/>
  <c r="AD47" i="4"/>
  <c r="BA47" i="4" s="1"/>
  <c r="AE47" i="4"/>
  <c r="AL47" i="4"/>
  <c r="BH47" i="4" s="1"/>
  <c r="AM47" i="4"/>
  <c r="Z48" i="4"/>
  <c r="AW48" i="4" s="1"/>
  <c r="AB48" i="4"/>
  <c r="AY48" i="4" s="1"/>
  <c r="AC48" i="4"/>
  <c r="AZ48" i="4" s="1"/>
  <c r="AD48" i="4"/>
  <c r="BA48" i="4" s="1"/>
  <c r="AE48" i="4"/>
  <c r="AM48" i="4"/>
  <c r="AT48" i="4"/>
  <c r="BO48" i="4" s="1"/>
  <c r="W49" i="4"/>
  <c r="Z49" i="4"/>
  <c r="AW49" i="4" s="1"/>
  <c r="AB49" i="4"/>
  <c r="AY49" i="4" s="1"/>
  <c r="AC49" i="4"/>
  <c r="AZ49" i="4" s="1"/>
  <c r="AD49" i="4"/>
  <c r="BA49" i="4" s="1"/>
  <c r="AE49" i="4"/>
  <c r="AL49" i="4"/>
  <c r="BH49" i="4" s="1"/>
  <c r="AM49" i="4"/>
  <c r="AQ49" i="4"/>
  <c r="BL49" i="4" s="1"/>
  <c r="W50" i="4"/>
  <c r="Z50" i="4"/>
  <c r="AW50" i="4" s="1"/>
  <c r="AB50" i="4"/>
  <c r="AY50" i="4" s="1"/>
  <c r="AC50" i="4"/>
  <c r="AZ50" i="4" s="1"/>
  <c r="AD50" i="4"/>
  <c r="BA50" i="4" s="1"/>
  <c r="AE50" i="4"/>
  <c r="AM50" i="4"/>
  <c r="AQ50" i="4"/>
  <c r="BL50" i="4" s="1"/>
  <c r="W51" i="4"/>
  <c r="Z51" i="4"/>
  <c r="AW51" i="4" s="1"/>
  <c r="AC51" i="4"/>
  <c r="AZ51" i="4" s="1"/>
  <c r="AD51" i="4"/>
  <c r="BA51" i="4" s="1"/>
  <c r="AE51" i="4"/>
  <c r="AK51" i="4"/>
  <c r="BG51" i="4" s="1"/>
  <c r="AM51" i="4"/>
  <c r="AQ51" i="4"/>
  <c r="BL51" i="4" s="1"/>
  <c r="AT51" i="4"/>
  <c r="BO51" i="4" s="1"/>
  <c r="H10" i="4"/>
  <c r="S10" i="4" s="1"/>
  <c r="I10" i="4"/>
  <c r="T10" i="4" s="1"/>
  <c r="J10" i="4"/>
  <c r="U10" i="4" s="1"/>
  <c r="K10" i="4"/>
  <c r="V10" i="4" s="1"/>
  <c r="H11" i="4"/>
  <c r="S11" i="4" s="1"/>
  <c r="I11" i="4"/>
  <c r="T11" i="4" s="1"/>
  <c r="J11" i="4"/>
  <c r="U11" i="4" s="1"/>
  <c r="K11" i="4"/>
  <c r="V11" i="4" s="1"/>
  <c r="H12" i="4"/>
  <c r="S12" i="4" s="1"/>
  <c r="I12" i="4"/>
  <c r="T12" i="4" s="1"/>
  <c r="J12" i="4"/>
  <c r="U12" i="4" s="1"/>
  <c r="K12" i="4"/>
  <c r="V12" i="4" s="1"/>
  <c r="J13" i="4"/>
  <c r="U13" i="4" s="1"/>
  <c r="H14" i="4"/>
  <c r="S14" i="4" s="1"/>
  <c r="I14" i="4"/>
  <c r="T14" i="4" s="1"/>
  <c r="J14" i="4"/>
  <c r="U14" i="4" s="1"/>
  <c r="K14" i="4"/>
  <c r="V14" i="4" s="1"/>
  <c r="H15" i="4"/>
  <c r="S15" i="4" s="1"/>
  <c r="I15" i="4"/>
  <c r="T15" i="4" s="1"/>
  <c r="J15" i="4"/>
  <c r="U15" i="4" s="1"/>
  <c r="K15" i="4"/>
  <c r="V15" i="4" s="1"/>
  <c r="H16" i="4"/>
  <c r="S16" i="4" s="1"/>
  <c r="I16" i="4"/>
  <c r="T16" i="4" s="1"/>
  <c r="J16" i="4"/>
  <c r="U16" i="4" s="1"/>
  <c r="K16" i="4"/>
  <c r="V16" i="4" s="1"/>
  <c r="H17" i="4"/>
  <c r="S17" i="4" s="1"/>
  <c r="I17" i="4"/>
  <c r="T17" i="4" s="1"/>
  <c r="J17" i="4"/>
  <c r="U17" i="4" s="1"/>
  <c r="K17" i="4"/>
  <c r="V17" i="4" s="1"/>
  <c r="H18" i="4"/>
  <c r="S18" i="4" s="1"/>
  <c r="I18" i="4"/>
  <c r="T18" i="4" s="1"/>
  <c r="J18" i="4"/>
  <c r="U18" i="4" s="1"/>
  <c r="K18" i="4"/>
  <c r="V18" i="4" s="1"/>
  <c r="H19" i="4"/>
  <c r="S19" i="4" s="1"/>
  <c r="I19" i="4"/>
  <c r="T19" i="4" s="1"/>
  <c r="J19" i="4"/>
  <c r="U19" i="4" s="1"/>
  <c r="K19" i="4"/>
  <c r="V19" i="4" s="1"/>
  <c r="H20" i="4"/>
  <c r="S20" i="4" s="1"/>
  <c r="H26" i="4"/>
  <c r="S26" i="4" s="1"/>
  <c r="I26" i="4"/>
  <c r="T26" i="4" s="1"/>
  <c r="J26" i="4"/>
  <c r="U26" i="4" s="1"/>
  <c r="K26" i="4"/>
  <c r="V26" i="4" s="1"/>
  <c r="H27" i="4"/>
  <c r="S27" i="4" s="1"/>
  <c r="J27" i="4"/>
  <c r="U27" i="4" s="1"/>
  <c r="K27" i="4"/>
  <c r="V27" i="4" s="1"/>
  <c r="H28" i="4"/>
  <c r="S28" i="4" s="1"/>
  <c r="I28" i="4"/>
  <c r="T28" i="4" s="1"/>
  <c r="J28" i="4"/>
  <c r="U28" i="4" s="1"/>
  <c r="I29" i="4"/>
  <c r="T29" i="4" s="1"/>
  <c r="K29" i="4"/>
  <c r="V29" i="4" s="1"/>
  <c r="I37" i="4"/>
  <c r="T37" i="4" s="1"/>
  <c r="K37" i="4"/>
  <c r="V37" i="4" s="1"/>
  <c r="H38" i="4"/>
  <c r="S38" i="4" s="1"/>
  <c r="I38" i="4"/>
  <c r="T38" i="4" s="1"/>
  <c r="J38" i="4"/>
  <c r="U38" i="4" s="1"/>
  <c r="K38" i="4"/>
  <c r="V38" i="4" s="1"/>
  <c r="H39" i="4"/>
  <c r="S39" i="4" s="1"/>
  <c r="I39" i="4"/>
  <c r="T39" i="4" s="1"/>
  <c r="J39" i="4"/>
  <c r="U39" i="4" s="1"/>
  <c r="K39" i="4"/>
  <c r="V39" i="4" s="1"/>
  <c r="H40" i="4"/>
  <c r="S40" i="4" s="1"/>
  <c r="I40" i="4"/>
  <c r="T40" i="4" s="1"/>
  <c r="J40" i="4"/>
  <c r="U40" i="4" s="1"/>
  <c r="K40" i="4"/>
  <c r="V40" i="4" s="1"/>
  <c r="H41" i="4"/>
  <c r="S41" i="4" s="1"/>
  <c r="I41" i="4"/>
  <c r="T41" i="4" s="1"/>
  <c r="J41" i="4"/>
  <c r="U41" i="4" s="1"/>
  <c r="K41" i="4"/>
  <c r="V41" i="4" s="1"/>
  <c r="H42" i="4"/>
  <c r="S42" i="4" s="1"/>
  <c r="I42" i="4"/>
  <c r="T42" i="4" s="1"/>
  <c r="J42" i="4"/>
  <c r="U42" i="4" s="1"/>
  <c r="K42" i="4"/>
  <c r="V42" i="4" s="1"/>
  <c r="H43" i="4"/>
  <c r="S43" i="4" s="1"/>
  <c r="I43" i="4"/>
  <c r="T43" i="4" s="1"/>
  <c r="J43" i="4"/>
  <c r="U43" i="4" s="1"/>
  <c r="K43" i="4"/>
  <c r="V43" i="4" s="1"/>
  <c r="H44" i="4"/>
  <c r="S44" i="4" s="1"/>
  <c r="I44" i="4"/>
  <c r="T44" i="4" s="1"/>
  <c r="J44" i="4"/>
  <c r="U44" i="4" s="1"/>
  <c r="K44" i="4"/>
  <c r="V44" i="4" s="1"/>
  <c r="I45" i="4"/>
  <c r="T45" i="4" s="1"/>
  <c r="K45" i="4"/>
  <c r="V45" i="4" s="1"/>
  <c r="J46" i="4"/>
  <c r="U46" i="4" s="1"/>
  <c r="K46" i="4"/>
  <c r="V46" i="4" s="1"/>
  <c r="H47" i="4"/>
  <c r="S47" i="4" s="1"/>
  <c r="I47" i="4"/>
  <c r="T47" i="4" s="1"/>
  <c r="J47" i="4"/>
  <c r="U47" i="4" s="1"/>
  <c r="K47" i="4"/>
  <c r="V47" i="4" s="1"/>
  <c r="H48" i="4"/>
  <c r="S48" i="4" s="1"/>
  <c r="I48" i="4"/>
  <c r="T48" i="4" s="1"/>
  <c r="J48" i="4"/>
  <c r="U48" i="4" s="1"/>
  <c r="K48" i="4"/>
  <c r="V48" i="4" s="1"/>
  <c r="H49" i="4"/>
  <c r="S49" i="4" s="1"/>
  <c r="I49" i="4"/>
  <c r="T49" i="4" s="1"/>
  <c r="J49" i="4"/>
  <c r="U49" i="4" s="1"/>
  <c r="K49" i="4"/>
  <c r="V49" i="4" s="1"/>
  <c r="H50" i="4"/>
  <c r="S50" i="4" s="1"/>
  <c r="I50" i="4"/>
  <c r="T50" i="4" s="1"/>
  <c r="J50" i="4"/>
  <c r="U50" i="4" s="1"/>
  <c r="K50" i="4"/>
  <c r="V50" i="4" s="1"/>
  <c r="H51" i="4"/>
  <c r="S51" i="4" s="1"/>
  <c r="I51" i="4"/>
  <c r="T51" i="4" s="1"/>
  <c r="E26" i="4"/>
  <c r="P26" i="4" s="1"/>
  <c r="E37" i="4"/>
  <c r="P37" i="4" s="1"/>
  <c r="E38" i="4"/>
  <c r="P38" i="4" s="1"/>
  <c r="E39" i="4"/>
  <c r="P39" i="4" s="1"/>
  <c r="E40" i="4"/>
  <c r="P40" i="4" s="1"/>
  <c r="E41" i="4"/>
  <c r="P41" i="4" s="1"/>
  <c r="E42" i="4"/>
  <c r="P42" i="4" s="1"/>
  <c r="E43" i="4"/>
  <c r="P43" i="4" s="1"/>
  <c r="E44" i="4"/>
  <c r="P44" i="4" s="1"/>
  <c r="E45" i="4"/>
  <c r="P45" i="4" s="1"/>
  <c r="E46" i="4"/>
  <c r="P46" i="4" s="1"/>
  <c r="E47" i="4"/>
  <c r="P47" i="4" s="1"/>
  <c r="E49" i="4"/>
  <c r="P49" i="4" s="1"/>
  <c r="E50" i="4"/>
  <c r="P50" i="4" s="1"/>
  <c r="B38" i="4"/>
  <c r="B39" i="4"/>
  <c r="B40" i="4"/>
  <c r="B41" i="4"/>
  <c r="B42" i="4"/>
  <c r="B43" i="4"/>
  <c r="B44" i="4"/>
  <c r="B46" i="4"/>
  <c r="B47" i="4"/>
  <c r="B48" i="4"/>
  <c r="B49" i="4"/>
  <c r="B50" i="4"/>
  <c r="I8" i="4"/>
  <c r="T8" i="4" s="1"/>
  <c r="G4" i="4"/>
  <c r="R4" i="4" s="1"/>
  <c r="F4" i="4"/>
  <c r="Q4" i="4" s="1"/>
  <c r="X4" i="4"/>
  <c r="D4" i="4"/>
  <c r="O4" i="4" s="1"/>
  <c r="AF4" i="4"/>
  <c r="C4" i="4"/>
  <c r="AN4" i="4"/>
  <c r="J5" i="4"/>
  <c r="U5" i="4" s="1"/>
  <c r="F5" i="4"/>
  <c r="Q5" i="4" s="1"/>
  <c r="K6" i="4"/>
  <c r="V6" i="4" s="1"/>
  <c r="J6" i="4"/>
  <c r="U6" i="4" s="1"/>
  <c r="D6" i="4"/>
  <c r="O6" i="4" s="1"/>
  <c r="I6" i="4"/>
  <c r="T6" i="4" s="1"/>
  <c r="C6" i="4"/>
  <c r="K7" i="4"/>
  <c r="V7" i="4" s="1"/>
  <c r="D7" i="4"/>
  <c r="O7" i="4" s="1"/>
  <c r="I7" i="4"/>
  <c r="T7" i="4" s="1"/>
  <c r="D9" i="4"/>
  <c r="J9" i="4"/>
  <c r="U9" i="4" s="1"/>
  <c r="I9" i="4"/>
  <c r="T9" i="4" s="1"/>
  <c r="C9" i="4"/>
  <c r="K9" i="4"/>
  <c r="V9" i="4" s="1"/>
  <c r="D8" i="4"/>
  <c r="O8" i="4" s="1"/>
  <c r="C8" i="4"/>
  <c r="K8" i="4"/>
  <c r="V8" i="4" s="1"/>
  <c r="C10" i="4"/>
  <c r="D10" i="4"/>
  <c r="O10" i="4" s="1"/>
  <c r="J8" i="4"/>
  <c r="U8" i="4" s="1"/>
  <c r="J7" i="4"/>
  <c r="U7" i="4" s="1"/>
  <c r="C7" i="4"/>
  <c r="H7" i="4"/>
  <c r="S7" i="4" s="1"/>
  <c r="H5" i="4"/>
  <c r="S5" i="4" s="1"/>
  <c r="H9" i="4"/>
  <c r="S9" i="4" s="1"/>
  <c r="H8" i="4"/>
  <c r="S8" i="4" s="1"/>
  <c r="H6" i="4"/>
  <c r="S6" i="4" s="1"/>
  <c r="D11" i="4"/>
  <c r="O11" i="4" s="1"/>
  <c r="C11" i="4"/>
  <c r="C12" i="4"/>
  <c r="D12" i="4"/>
  <c r="O12" i="4" s="1"/>
  <c r="C14" i="4"/>
  <c r="D14" i="4"/>
  <c r="O14" i="4" s="1"/>
  <c r="C15" i="4"/>
  <c r="D15" i="4"/>
  <c r="O15" i="4" s="1"/>
  <c r="C16" i="4"/>
  <c r="D16" i="4"/>
  <c r="O16" i="4" s="1"/>
  <c r="C17" i="4"/>
  <c r="D17" i="4"/>
  <c r="O17" i="4" s="1"/>
  <c r="C18" i="4"/>
  <c r="D18" i="4"/>
  <c r="O18" i="4" s="1"/>
  <c r="C19" i="4"/>
  <c r="D19" i="4"/>
  <c r="O19" i="4" s="1"/>
  <c r="C20" i="4"/>
  <c r="D20" i="4"/>
  <c r="O20" i="4" s="1"/>
  <c r="C21" i="4"/>
  <c r="C26" i="4"/>
  <c r="D26" i="4"/>
  <c r="O26" i="4" s="1"/>
  <c r="AK8" i="4"/>
  <c r="BG8" i="4" s="1"/>
  <c r="AS8" i="4"/>
  <c r="BN8" i="4" s="1"/>
  <c r="AB7" i="4"/>
  <c r="AY7" i="4" s="1"/>
  <c r="AS10" i="4"/>
  <c r="BN10" i="4" s="1"/>
  <c r="BU10" i="4"/>
  <c r="AJ9" i="4"/>
  <c r="BF9" i="4" s="1"/>
  <c r="AQ10" i="4"/>
  <c r="BL10" i="4" s="1"/>
  <c r="AQ7" i="4"/>
  <c r="BL7" i="4" s="1"/>
  <c r="AK9" i="4"/>
  <c r="BG9" i="4" s="1"/>
  <c r="AS9" i="4"/>
  <c r="BN9" i="4" s="1"/>
  <c r="AI9" i="4"/>
  <c r="BE9" i="4" s="1"/>
  <c r="AQ9" i="4"/>
  <c r="BL9" i="4" s="1"/>
  <c r="AJ13" i="4"/>
  <c r="BF13" i="4" s="1"/>
  <c r="AJ10" i="4"/>
  <c r="BF10" i="4" s="1"/>
  <c r="AQ14" i="4"/>
  <c r="BL14" i="4" s="1"/>
  <c r="AK16" i="4"/>
  <c r="BG16" i="4" s="1"/>
  <c r="AS16" i="4"/>
  <c r="BN16" i="4" s="1"/>
  <c r="AQ16" i="4"/>
  <c r="BL16" i="4" s="1"/>
  <c r="AK18" i="4"/>
  <c r="BG18" i="4" s="1"/>
  <c r="AS18" i="4"/>
  <c r="BN18" i="4" s="1"/>
  <c r="AQ15" i="4"/>
  <c r="BL15" i="4" s="1"/>
  <c r="AS17" i="4"/>
  <c r="BN17" i="4" s="1"/>
  <c r="AI17" i="4"/>
  <c r="BE17" i="4" s="1"/>
  <c r="AQ17" i="4"/>
  <c r="BL17" i="4" s="1"/>
  <c r="AI19" i="4"/>
  <c r="BE19" i="4" s="1"/>
  <c r="AQ19" i="4"/>
  <c r="BL19" i="4" s="1"/>
  <c r="AS26" i="4"/>
  <c r="BN26" i="4" s="1"/>
  <c r="Z22" i="4"/>
  <c r="AW22" i="4" s="1"/>
  <c r="E24" i="4"/>
  <c r="P24" i="4" s="1"/>
  <c r="AQ31" i="4"/>
  <c r="BL31" i="4" s="1"/>
  <c r="AK40" i="4"/>
  <c r="BG40" i="4" s="1"/>
  <c r="AQ40" i="4"/>
  <c r="BL40" i="4" s="1"/>
  <c r="Y37" i="4"/>
  <c r="AV37" i="4" s="1"/>
  <c r="AK42" i="4"/>
  <c r="BG42" i="4" s="1"/>
  <c r="AS42" i="4"/>
  <c r="BN42" i="4" s="1"/>
  <c r="AQ39" i="4"/>
  <c r="BL39" i="4" s="1"/>
  <c r="AQ42" i="4"/>
  <c r="BL42" i="4" s="1"/>
  <c r="AQ41" i="4"/>
  <c r="BL41" i="4" s="1"/>
  <c r="AI44" i="4"/>
  <c r="BE44" i="4" s="1"/>
  <c r="AQ44" i="4"/>
  <c r="BL44" i="4" s="1"/>
  <c r="Y41" i="4"/>
  <c r="AV41" i="4" s="1"/>
  <c r="AS48" i="4"/>
  <c r="BN48" i="4" s="1"/>
  <c r="X48" i="4"/>
  <c r="AS50" i="4"/>
  <c r="BN50" i="4" s="1"/>
  <c r="AQ47" i="4"/>
  <c r="BL47" i="4" s="1"/>
  <c r="AS49" i="4"/>
  <c r="BN49" i="4" s="1"/>
  <c r="AI49" i="4"/>
  <c r="BE49" i="4" s="1"/>
  <c r="AS6" i="4"/>
  <c r="BN6" i="4" s="1"/>
  <c r="AS11" i="4"/>
  <c r="BN11" i="4" s="1"/>
  <c r="AS15" i="4"/>
  <c r="BN15" i="4" s="1"/>
  <c r="AS5" i="4"/>
  <c r="BN5" i="4" s="1"/>
  <c r="AK7" i="4"/>
  <c r="BG7" i="4" s="1"/>
  <c r="AK39" i="4"/>
  <c r="BG39" i="4" s="1"/>
  <c r="AS39" i="4"/>
  <c r="BN39" i="4" s="1"/>
  <c r="AK47" i="4"/>
  <c r="BG47" i="4" s="1"/>
  <c r="AS47" i="4"/>
  <c r="BN47" i="4" s="1"/>
  <c r="AK12" i="4"/>
  <c r="BG12" i="4" s="1"/>
  <c r="AS12" i="4"/>
  <c r="BN12" i="4" s="1"/>
  <c r="AS20" i="4"/>
  <c r="BN20" i="4" s="1"/>
  <c r="AK46" i="4"/>
  <c r="BG46" i="4" s="1"/>
  <c r="AL20" i="4"/>
  <c r="BH20" i="4" s="1"/>
  <c r="AL28" i="4"/>
  <c r="BH28" i="4" s="1"/>
  <c r="AL26" i="4"/>
  <c r="BH26" i="4" s="1"/>
  <c r="AL5" i="4"/>
  <c r="BH5" i="4" s="1"/>
  <c r="AS44" i="4"/>
  <c r="BN44" i="4" s="1"/>
  <c r="BU7" i="4"/>
  <c r="AS45" i="4"/>
  <c r="BN45" i="4" s="1"/>
  <c r="AJ27" i="4"/>
  <c r="BF27" i="4" s="1"/>
  <c r="L5" i="5"/>
  <c r="K5" i="5"/>
  <c r="AS41" i="4"/>
  <c r="BN41" i="4" s="1"/>
  <c r="AS7" i="4"/>
  <c r="BN7" i="4" s="1"/>
  <c r="AS13" i="4"/>
  <c r="BN13" i="4" s="1"/>
  <c r="AS38" i="4"/>
  <c r="BN38" i="4" s="1"/>
  <c r="AS43" i="4"/>
  <c r="BN43" i="4" s="1"/>
  <c r="AS40" i="4"/>
  <c r="BN40" i="4" s="1"/>
  <c r="AT41" i="4"/>
  <c r="BO41" i="4" s="1"/>
  <c r="AT18" i="4"/>
  <c r="BO18" i="4" s="1"/>
  <c r="AT44" i="4"/>
  <c r="BO44" i="4" s="1"/>
  <c r="AT13" i="4"/>
  <c r="BO13" i="4" s="1"/>
  <c r="AT17" i="4"/>
  <c r="BO17" i="4" s="1"/>
  <c r="AT6" i="4"/>
  <c r="BO6" i="4" s="1"/>
  <c r="AT12" i="4"/>
  <c r="BO12" i="4" s="1"/>
  <c r="AT7" i="4"/>
  <c r="BO7" i="4" s="1"/>
  <c r="AT26" i="4"/>
  <c r="BO26" i="4" s="1"/>
  <c r="AT8" i="4"/>
  <c r="BO8" i="4" s="1"/>
  <c r="AT50" i="4"/>
  <c r="BO50" i="4" s="1"/>
  <c r="AT39" i="4"/>
  <c r="BO39" i="4" s="1"/>
  <c r="AT15" i="4"/>
  <c r="BO15" i="4" s="1"/>
  <c r="AT10" i="4"/>
  <c r="BO10" i="4" s="1"/>
  <c r="AT49" i="4"/>
  <c r="BO49" i="4" s="1"/>
  <c r="AT40" i="4"/>
  <c r="BO40" i="4" s="1"/>
  <c r="AT16" i="4"/>
  <c r="BO16" i="4" s="1"/>
  <c r="AT47" i="4"/>
  <c r="BO47" i="4" s="1"/>
  <c r="AQ48" i="4"/>
  <c r="BL48" i="4" s="1"/>
  <c r="AQ8" i="4"/>
  <c r="BL8" i="4" s="1"/>
  <c r="AQ12" i="4"/>
  <c r="BL12" i="4" s="1"/>
  <c r="AQ38" i="4"/>
  <c r="BL38" i="4" s="1"/>
  <c r="AQ13" i="4"/>
  <c r="BL13" i="4" s="1"/>
  <c r="AQ46" i="4"/>
  <c r="BL46" i="4" s="1"/>
  <c r="AR37" i="4"/>
  <c r="BM37" i="4" s="1"/>
  <c r="AR46" i="4"/>
  <c r="BM46" i="4" s="1"/>
  <c r="AR42" i="4"/>
  <c r="BM42" i="4" s="1"/>
  <c r="AR14" i="4"/>
  <c r="BM14" i="4" s="1"/>
  <c r="AR50" i="4"/>
  <c r="BM50" i="4" s="1"/>
  <c r="AR43" i="4"/>
  <c r="BM43" i="4" s="1"/>
  <c r="AR49" i="4"/>
  <c r="BM49" i="4" s="1"/>
  <c r="AJ5" i="4"/>
  <c r="BF5" i="4" s="1"/>
  <c r="AR40" i="4"/>
  <c r="BM40" i="4" s="1"/>
  <c r="AR23" i="4"/>
  <c r="BM23" i="4" s="1"/>
  <c r="AR27" i="4"/>
  <c r="BM27" i="4" s="1"/>
  <c r="AR44" i="4"/>
  <c r="BM44" i="4" s="1"/>
  <c r="AR51" i="4"/>
  <c r="BM51" i="4" s="1"/>
  <c r="AR47" i="4"/>
  <c r="BM47" i="4" s="1"/>
  <c r="AR41" i="4"/>
  <c r="BM41" i="4" s="1"/>
  <c r="AR21" i="4"/>
  <c r="BM21" i="4" s="1"/>
  <c r="AR39" i="4"/>
  <c r="BM39" i="4" s="1"/>
  <c r="AR15" i="4"/>
  <c r="BM15" i="4" s="1"/>
  <c r="AR28" i="4"/>
  <c r="BM28" i="4" s="1"/>
  <c r="AR17" i="4"/>
  <c r="BM17" i="4" s="1"/>
  <c r="AJ8" i="4"/>
  <c r="BF8" i="4" s="1"/>
  <c r="AR38" i="4"/>
  <c r="BM38" i="4" s="1"/>
  <c r="AR48" i="4"/>
  <c r="BM48" i="4" s="1"/>
  <c r="AR13" i="4"/>
  <c r="BM13" i="4" s="1"/>
  <c r="AJ7" i="4"/>
  <c r="BF7" i="4" s="1"/>
  <c r="AR18" i="4"/>
  <c r="BM18" i="4" s="1"/>
  <c r="J5" i="5"/>
  <c r="I5" i="5"/>
  <c r="J13" i="11"/>
  <c r="J12" i="11"/>
  <c r="K13" i="11"/>
  <c r="K12" i="11"/>
  <c r="H12" i="11"/>
  <c r="H13" i="11"/>
  <c r="I13" i="11"/>
  <c r="I12" i="11"/>
  <c r="AI48" i="4"/>
  <c r="BE48" i="4" s="1"/>
  <c r="AI47" i="4"/>
  <c r="BE47" i="4" s="1"/>
  <c r="E19" i="4"/>
  <c r="P19" i="4" s="1"/>
  <c r="AI39" i="4"/>
  <c r="BE39" i="4" s="1"/>
  <c r="AI41" i="4"/>
  <c r="BE41" i="4" s="1"/>
  <c r="AI14" i="4"/>
  <c r="BE14" i="4" s="1"/>
  <c r="AI8" i="4"/>
  <c r="BE8" i="4" s="1"/>
  <c r="AI40" i="4"/>
  <c r="BE40" i="4" s="1"/>
  <c r="AI16" i="4"/>
  <c r="BE16" i="4" s="1"/>
  <c r="AI45" i="4"/>
  <c r="BE45" i="4" s="1"/>
  <c r="AI46" i="4"/>
  <c r="BE46" i="4" s="1"/>
  <c r="AI10" i="4"/>
  <c r="BE10" i="4" s="1"/>
  <c r="AJ15" i="4"/>
  <c r="BF15" i="4" s="1"/>
  <c r="AA50" i="4"/>
  <c r="AX50" i="4" s="1"/>
  <c r="AI20" i="4"/>
  <c r="BE20" i="4" s="1"/>
  <c r="AI15" i="4"/>
  <c r="BE15" i="4" s="1"/>
  <c r="G6" i="4"/>
  <c r="R6" i="4" s="1"/>
  <c r="AJ19" i="4"/>
  <c r="BF19" i="4" s="1"/>
  <c r="AK6" i="4"/>
  <c r="BG6" i="4" s="1"/>
  <c r="AL10" i="4"/>
  <c r="BH10" i="4" s="1"/>
  <c r="AK37" i="4"/>
  <c r="BG37" i="4" s="1"/>
  <c r="AI38" i="4"/>
  <c r="BE38" i="4" s="1"/>
  <c r="AL12" i="4"/>
  <c r="BH12" i="4" s="1"/>
  <c r="AK48" i="4"/>
  <c r="BG48" i="4" s="1"/>
  <c r="AL13" i="4"/>
  <c r="BH13" i="4" s="1"/>
  <c r="AK15" i="4"/>
  <c r="BG15" i="4" s="1"/>
  <c r="AK50" i="4"/>
  <c r="BG50" i="4" s="1"/>
  <c r="AK28" i="4"/>
  <c r="BG28" i="4" s="1"/>
  <c r="AL6" i="4"/>
  <c r="BH6" i="4" s="1"/>
  <c r="AL27" i="4"/>
  <c r="BH27" i="4" s="1"/>
  <c r="AJ49" i="4"/>
  <c r="BF49" i="4" s="1"/>
  <c r="AK10" i="4"/>
  <c r="BG10" i="4" s="1"/>
  <c r="AJ39" i="4"/>
  <c r="BF39" i="4" s="1"/>
  <c r="AK44" i="4"/>
  <c r="BG44" i="4" s="1"/>
  <c r="AL18" i="4"/>
  <c r="BH18" i="4" s="1"/>
  <c r="AK43" i="4"/>
  <c r="BG43" i="4" s="1"/>
  <c r="AL16" i="4"/>
  <c r="BH16" i="4" s="1"/>
  <c r="AK49" i="4"/>
  <c r="BG49" i="4" s="1"/>
  <c r="AK23" i="4"/>
  <c r="BG23" i="4" s="1"/>
  <c r="AK13" i="4"/>
  <c r="BG13" i="4" s="1"/>
  <c r="AB16" i="4"/>
  <c r="AY16" i="4" s="1"/>
  <c r="AL19" i="4"/>
  <c r="BH19" i="4" s="1"/>
  <c r="AJ43" i="4"/>
  <c r="BF43" i="4" s="1"/>
  <c r="AB8" i="4"/>
  <c r="AY8" i="4" s="1"/>
  <c r="AK38" i="4"/>
  <c r="BG38" i="4" s="1"/>
  <c r="AK26" i="4"/>
  <c r="BG26" i="4" s="1"/>
  <c r="AL39" i="4"/>
  <c r="BH39" i="4" s="1"/>
  <c r="AK17" i="4"/>
  <c r="BG17" i="4" s="1"/>
  <c r="AL50" i="4"/>
  <c r="BH50" i="4" s="1"/>
  <c r="W9" i="4"/>
  <c r="Z20" i="4"/>
  <c r="AW20" i="4" s="1"/>
  <c r="E28" i="4"/>
  <c r="P28" i="4" s="1"/>
  <c r="Z28" i="4"/>
  <c r="AW28" i="4" s="1"/>
  <c r="X46" i="4"/>
  <c r="W10" i="4"/>
  <c r="Z25" i="4"/>
  <c r="AW25" i="4" s="1"/>
  <c r="W11" i="4"/>
  <c r="Y35" i="4"/>
  <c r="AV35" i="4" s="1"/>
  <c r="D35" i="4"/>
  <c r="O35" i="4" s="1"/>
  <c r="Y40" i="4"/>
  <c r="AV40" i="4" s="1"/>
  <c r="W6" i="4"/>
  <c r="W14" i="4"/>
  <c r="W8" i="4"/>
  <c r="Z27" i="4"/>
  <c r="AW27" i="4" s="1"/>
  <c r="E27" i="4"/>
  <c r="P27" i="4" s="1"/>
  <c r="X51" i="4"/>
  <c r="X49" i="4"/>
  <c r="W7" i="4"/>
  <c r="AA51" i="4"/>
  <c r="AX51" i="4" s="1"/>
  <c r="AI51" i="4"/>
  <c r="BE51" i="4" s="1"/>
  <c r="I5" i="11"/>
  <c r="F6" i="4"/>
  <c r="Q6" i="4" s="1"/>
  <c r="I8" i="11"/>
  <c r="AK41" i="4"/>
  <c r="BG41" i="4" s="1"/>
  <c r="I9" i="11"/>
  <c r="K8" i="11"/>
  <c r="K9" i="11"/>
  <c r="X50" i="4"/>
  <c r="Y39" i="4"/>
  <c r="AV39" i="4" s="1"/>
  <c r="X47" i="4"/>
  <c r="H5" i="11"/>
  <c r="H9" i="11"/>
  <c r="H8" i="11"/>
  <c r="J8" i="11"/>
  <c r="J9" i="11"/>
  <c r="W16" i="4"/>
  <c r="W15" i="4"/>
  <c r="C11" i="3"/>
  <c r="BR12" i="4" s="1"/>
  <c r="C47" i="4"/>
  <c r="C49" i="4"/>
  <c r="B10" i="4"/>
  <c r="B7" i="4"/>
  <c r="B15" i="4"/>
  <c r="C51" i="4"/>
  <c r="Y4" i="4"/>
  <c r="AV4" i="4" s="1"/>
  <c r="C44" i="4"/>
  <c r="B16" i="4"/>
  <c r="C48" i="4"/>
  <c r="B9" i="4"/>
  <c r="B12" i="4"/>
  <c r="B14" i="4"/>
  <c r="B8" i="4"/>
  <c r="B4" i="4"/>
  <c r="W4" i="4"/>
  <c r="B6" i="4"/>
  <c r="C45" i="4"/>
  <c r="C50" i="4"/>
  <c r="C46" i="4"/>
  <c r="AH4" i="4"/>
  <c r="BD4" i="4" s="1"/>
  <c r="D38" i="4"/>
  <c r="O38" i="4" s="1"/>
  <c r="D41" i="4"/>
  <c r="O41" i="4" s="1"/>
  <c r="D40" i="4"/>
  <c r="O40" i="4" s="1"/>
  <c r="D42" i="4"/>
  <c r="O42" i="4" s="1"/>
  <c r="D39" i="4"/>
  <c r="O39" i="4" s="1"/>
  <c r="B11" i="4"/>
  <c r="B17" i="4"/>
  <c r="W18" i="4"/>
  <c r="X44" i="4"/>
  <c r="X42" i="4"/>
  <c r="C42" i="4"/>
  <c r="X43" i="4"/>
  <c r="C43" i="4"/>
  <c r="E18" i="4"/>
  <c r="P18" i="4" s="1"/>
  <c r="Z18" i="4"/>
  <c r="AW18" i="4" s="1"/>
  <c r="E17" i="4"/>
  <c r="P17" i="4" s="1"/>
  <c r="Z17" i="4"/>
  <c r="AW17" i="4" s="1"/>
  <c r="B18" i="4"/>
  <c r="D43" i="4"/>
  <c r="O43" i="4" s="1"/>
  <c r="X41" i="4"/>
  <c r="C41" i="4"/>
  <c r="E11" i="4"/>
  <c r="P11" i="4" s="1"/>
  <c r="C39" i="4"/>
  <c r="C38" i="4"/>
  <c r="E12" i="4"/>
  <c r="P12" i="4" s="1"/>
  <c r="E16" i="4"/>
  <c r="P16" i="4" s="1"/>
  <c r="Z16" i="4"/>
  <c r="AW16" i="4" s="1"/>
  <c r="X40" i="4"/>
  <c r="C40" i="4"/>
  <c r="X37" i="4"/>
  <c r="Z11" i="4"/>
  <c r="AW11" i="4" s="1"/>
  <c r="Z14" i="4"/>
  <c r="AW14" i="4" s="1"/>
  <c r="Z12" i="4"/>
  <c r="AW12" i="4" s="1"/>
  <c r="E15" i="4"/>
  <c r="P15" i="4" s="1"/>
  <c r="Z15" i="4"/>
  <c r="AW15" i="4" s="1"/>
  <c r="Z13" i="4"/>
  <c r="AW13" i="4" s="1"/>
  <c r="E14" i="4"/>
  <c r="P14" i="4" s="1"/>
  <c r="AE26" i="4"/>
  <c r="AM22" i="4"/>
  <c r="AM23" i="4"/>
  <c r="AE27" i="4"/>
  <c r="AG49" i="4"/>
  <c r="BC49" i="4" s="1"/>
  <c r="AO48" i="4"/>
  <c r="BJ48" i="4" s="1"/>
  <c r="AO49" i="4"/>
  <c r="BJ49" i="4" s="1"/>
  <c r="AO50" i="4"/>
  <c r="BJ50" i="4" s="1"/>
  <c r="AO47" i="4"/>
  <c r="BJ47" i="4" s="1"/>
  <c r="AE28" i="4"/>
  <c r="B28" i="4"/>
  <c r="AG50" i="4"/>
  <c r="BC50" i="4" s="1"/>
  <c r="G50" i="4"/>
  <c r="R50" i="4" s="1"/>
  <c r="G51" i="4"/>
  <c r="R51" i="4" s="1"/>
  <c r="B30" i="4"/>
  <c r="B29" i="4"/>
  <c r="G49" i="4"/>
  <c r="R49" i="4" s="1"/>
  <c r="F49" i="4"/>
  <c r="Q49" i="4" s="1"/>
  <c r="F50" i="4"/>
  <c r="Q50" i="4" s="1"/>
  <c r="F51" i="4"/>
  <c r="Q51" i="4" s="1"/>
  <c r="CC6" i="4"/>
  <c r="CC9" i="4"/>
  <c r="CC7" i="4"/>
  <c r="CC4" i="4"/>
  <c r="CC8" i="4"/>
  <c r="CC5" i="4"/>
  <c r="BY4" i="4"/>
  <c r="BY6" i="4"/>
  <c r="BY5" i="4"/>
  <c r="BY9" i="4"/>
  <c r="BY8" i="4"/>
  <c r="BY7" i="4"/>
  <c r="AE29" i="4" l="1"/>
  <c r="D37" i="4"/>
  <c r="O37" i="4" s="1"/>
  <c r="AL21" i="4"/>
  <c r="BH21" i="4" s="1"/>
  <c r="AK45" i="4"/>
  <c r="BG45" i="4" s="1"/>
  <c r="AS37" i="4"/>
  <c r="BN37" i="4" s="1"/>
  <c r="BU49" i="4"/>
  <c r="D21" i="4"/>
  <c r="O21" i="4" s="1"/>
  <c r="K5" i="4"/>
  <c r="V5" i="4" s="1"/>
  <c r="D5" i="4"/>
  <c r="O5" i="4" s="1"/>
  <c r="H45" i="4"/>
  <c r="S45" i="4" s="1"/>
  <c r="H37" i="4"/>
  <c r="S37" i="4" s="1"/>
  <c r="K13" i="4"/>
  <c r="V13" i="4" s="1"/>
  <c r="AM45" i="4"/>
  <c r="AA37" i="4"/>
  <c r="AX37" i="4" s="1"/>
  <c r="AC13" i="4"/>
  <c r="AZ13" i="4" s="1"/>
  <c r="AH5" i="4"/>
  <c r="BD5" i="4" s="1"/>
  <c r="X45" i="4"/>
  <c r="AA45" i="4"/>
  <c r="AX45" i="4" s="1"/>
  <c r="K16" i="3"/>
  <c r="L16" i="1" s="1"/>
  <c r="W29" i="4"/>
  <c r="B13" i="4"/>
  <c r="AI5" i="4"/>
  <c r="BE5" i="4" s="1"/>
  <c r="AK5" i="4"/>
  <c r="BG5" i="4" s="1"/>
  <c r="B45" i="4"/>
  <c r="B37" i="4"/>
  <c r="J29" i="4"/>
  <c r="U29" i="4" s="1"/>
  <c r="I13" i="4"/>
  <c r="T13" i="4" s="1"/>
  <c r="AE45" i="4"/>
  <c r="W37" i="4"/>
  <c r="AD29" i="4"/>
  <c r="BA29" i="4" s="1"/>
  <c r="AA13" i="4"/>
  <c r="AX13" i="4" s="1"/>
  <c r="AD5" i="4"/>
  <c r="BA5" i="4" s="1"/>
  <c r="AJ29" i="4"/>
  <c r="BF29" i="4" s="1"/>
  <c r="K3" i="3"/>
  <c r="K9" i="3"/>
  <c r="L9" i="1" s="1"/>
  <c r="K47" i="3"/>
  <c r="L47" i="1" s="1"/>
  <c r="C37" i="4"/>
  <c r="B5" i="4"/>
  <c r="W5" i="4"/>
  <c r="AT5" i="4"/>
  <c r="BO5" i="4" s="1"/>
  <c r="AT37" i="4"/>
  <c r="BO37" i="4" s="1"/>
  <c r="C5" i="4"/>
  <c r="N5" i="4" s="1"/>
  <c r="H29" i="4"/>
  <c r="S29" i="4" s="1"/>
  <c r="AC45" i="4"/>
  <c r="AZ45" i="4" s="1"/>
  <c r="AE37" i="4"/>
  <c r="AR5" i="4"/>
  <c r="BM5" i="4" s="1"/>
  <c r="AA5" i="4"/>
  <c r="AX5" i="4" s="1"/>
  <c r="K26" i="3"/>
  <c r="L26" i="1" s="1"/>
  <c r="K23" i="3"/>
  <c r="L23" i="1" s="1"/>
  <c r="M13" i="3"/>
  <c r="K19" i="3"/>
  <c r="L19" i="1" s="1"/>
  <c r="E13" i="4"/>
  <c r="P13" i="4" s="1"/>
  <c r="W13" i="4"/>
  <c r="AR45" i="4"/>
  <c r="BM45" i="4" s="1"/>
  <c r="G5" i="4"/>
  <c r="R5" i="4" s="1"/>
  <c r="I5" i="4"/>
  <c r="T5" i="4" s="1"/>
  <c r="J45" i="4"/>
  <c r="U45" i="4" s="1"/>
  <c r="J37" i="4"/>
  <c r="U37" i="4" s="1"/>
  <c r="Z45" i="4"/>
  <c r="AW45" i="4" s="1"/>
  <c r="AF13" i="4"/>
  <c r="AP5" i="4"/>
  <c r="BK5" i="4" s="1"/>
  <c r="X5" i="4"/>
  <c r="AL29" i="4"/>
  <c r="BH29" i="4" s="1"/>
  <c r="AU6" i="4"/>
  <c r="C36" i="3"/>
  <c r="D36" i="1" s="1"/>
  <c r="BB27" i="4"/>
  <c r="N50" i="4"/>
  <c r="I15" i="3"/>
  <c r="I10" i="3"/>
  <c r="I36" i="3"/>
  <c r="O44" i="3"/>
  <c r="Q44" i="1" s="1"/>
  <c r="O31" i="3"/>
  <c r="Q31" i="1" s="1"/>
  <c r="O26" i="3"/>
  <c r="Q26" i="1" s="1"/>
  <c r="I18" i="3"/>
  <c r="O27" i="3"/>
  <c r="Q27" i="1" s="1"/>
  <c r="I3" i="3"/>
  <c r="BT4" i="4" s="1"/>
  <c r="I44" i="3"/>
  <c r="O29" i="3"/>
  <c r="Q29" i="1" s="1"/>
  <c r="I8" i="3"/>
  <c r="P27" i="1"/>
  <c r="O20" i="3"/>
  <c r="Q20" i="1" s="1"/>
  <c r="AU5" i="4"/>
  <c r="I39" i="3"/>
  <c r="I6" i="3"/>
  <c r="I32" i="3"/>
  <c r="K32" i="1" s="1"/>
  <c r="I7" i="3"/>
  <c r="I26" i="3"/>
  <c r="I21" i="3"/>
  <c r="I12" i="3"/>
  <c r="K12" i="1" s="1"/>
  <c r="O37" i="3"/>
  <c r="Q37" i="1" s="1"/>
  <c r="I45" i="3"/>
  <c r="I20" i="3"/>
  <c r="I41" i="3"/>
  <c r="K41" i="1" s="1"/>
  <c r="O28" i="3"/>
  <c r="Q28" i="1" s="1"/>
  <c r="I40" i="3"/>
  <c r="O16" i="3"/>
  <c r="Q16" i="1" s="1"/>
  <c r="I34" i="3"/>
  <c r="I25" i="3"/>
  <c r="O3" i="3"/>
  <c r="Q3" i="1" s="1"/>
  <c r="O45" i="3"/>
  <c r="Q45" i="1" s="1"/>
  <c r="I47" i="3"/>
  <c r="O19" i="3"/>
  <c r="Q19" i="1" s="1"/>
  <c r="I50" i="3"/>
  <c r="O32" i="3"/>
  <c r="Q32" i="1" s="1"/>
  <c r="I14" i="3"/>
  <c r="O14" i="3"/>
  <c r="Q14" i="1" s="1"/>
  <c r="I48" i="3"/>
  <c r="K48" i="1" s="1"/>
  <c r="I11" i="3"/>
  <c r="O11" i="3"/>
  <c r="Q11" i="1" s="1"/>
  <c r="O36" i="3"/>
  <c r="Q36" i="1" s="1"/>
  <c r="I46" i="3"/>
  <c r="K46" i="1" s="1"/>
  <c r="C37" i="3"/>
  <c r="BR38" i="4" s="1"/>
  <c r="C5" i="3"/>
  <c r="BR6" i="4" s="1"/>
  <c r="I16" i="3"/>
  <c r="O9" i="3"/>
  <c r="Q9" i="1" s="1"/>
  <c r="I19" i="3"/>
  <c r="M46" i="3"/>
  <c r="P46" i="1" s="1"/>
  <c r="O40" i="3"/>
  <c r="Q40" i="1" s="1"/>
  <c r="I9" i="3"/>
  <c r="K9" i="1" s="1"/>
  <c r="I5" i="3"/>
  <c r="O24" i="3"/>
  <c r="Q24" i="1" s="1"/>
  <c r="K3" i="1"/>
  <c r="AA4" i="4" s="1"/>
  <c r="AX4" i="4" s="1"/>
  <c r="I23" i="3"/>
  <c r="I22" i="3"/>
  <c r="I28" i="3"/>
  <c r="I33" i="3"/>
  <c r="I17" i="3"/>
  <c r="I29" i="3"/>
  <c r="P30" i="1"/>
  <c r="N4" i="4"/>
  <c r="AU44" i="4"/>
  <c r="AU42" i="4"/>
  <c r="AU18" i="4"/>
  <c r="BI27" i="4"/>
  <c r="BB29" i="4"/>
  <c r="N38" i="4"/>
  <c r="AU51" i="4"/>
  <c r="N42" i="4"/>
  <c r="N10" i="4"/>
  <c r="N8" i="4"/>
  <c r="N14" i="4"/>
  <c r="N9" i="4"/>
  <c r="N16" i="4"/>
  <c r="N39" i="4"/>
  <c r="N49" i="4"/>
  <c r="N41" i="4"/>
  <c r="N46" i="4"/>
  <c r="N18" i="4"/>
  <c r="AU15" i="4"/>
  <c r="AU47" i="4"/>
  <c r="AU50" i="4"/>
  <c r="AU10" i="4"/>
  <c r="AU43" i="4"/>
  <c r="AU49" i="4"/>
  <c r="AU13" i="4"/>
  <c r="AA33" i="4"/>
  <c r="AX33" i="4" s="1"/>
  <c r="AK33" i="4"/>
  <c r="BG33" i="4" s="1"/>
  <c r="AB33" i="4"/>
  <c r="AY33" i="4" s="1"/>
  <c r="AI33" i="4"/>
  <c r="BE33" i="4" s="1"/>
  <c r="I33" i="4"/>
  <c r="T33" i="4" s="1"/>
  <c r="Y33" i="4"/>
  <c r="AV33" i="4" s="1"/>
  <c r="AN33" i="4"/>
  <c r="E33" i="4"/>
  <c r="P33" i="4" s="1"/>
  <c r="AC33" i="4"/>
  <c r="AZ33" i="4" s="1"/>
  <c r="AM33" i="4"/>
  <c r="AQ33" i="4"/>
  <c r="BL33" i="4" s="1"/>
  <c r="AD33" i="4"/>
  <c r="BA33" i="4" s="1"/>
  <c r="AE33" i="4"/>
  <c r="AT33" i="4"/>
  <c r="BO33" i="4" s="1"/>
  <c r="AR33" i="4"/>
  <c r="BM33" i="4" s="1"/>
  <c r="H33" i="4"/>
  <c r="S33" i="4" s="1"/>
  <c r="D33" i="4"/>
  <c r="O33" i="4" s="1"/>
  <c r="B33" i="4"/>
  <c r="AL33" i="4"/>
  <c r="BH33" i="4" s="1"/>
  <c r="D34" i="4"/>
  <c r="O34" i="4" s="1"/>
  <c r="AL30" i="4"/>
  <c r="BH30" i="4" s="1"/>
  <c r="AI34" i="4"/>
  <c r="BE34" i="4" s="1"/>
  <c r="AJ24" i="4"/>
  <c r="BF24" i="4" s="1"/>
  <c r="AB24" i="4"/>
  <c r="AY24" i="4" s="1"/>
  <c r="Z24" i="4"/>
  <c r="AW24" i="4" s="1"/>
  <c r="AM24" i="4"/>
  <c r="X24" i="4"/>
  <c r="AS24" i="4"/>
  <c r="BN24" i="4" s="1"/>
  <c r="Y24" i="4"/>
  <c r="AV24" i="4" s="1"/>
  <c r="AI24" i="4"/>
  <c r="BE24" i="4" s="1"/>
  <c r="AA24" i="4"/>
  <c r="AX24" i="4" s="1"/>
  <c r="AF24" i="4"/>
  <c r="AL24" i="4"/>
  <c r="BH24" i="4" s="1"/>
  <c r="AN24" i="4"/>
  <c r="AT24" i="4"/>
  <c r="BO24" i="4" s="1"/>
  <c r="X23" i="4"/>
  <c r="AA23" i="4"/>
  <c r="AX23" i="4" s="1"/>
  <c r="Y23" i="4"/>
  <c r="AV23" i="4" s="1"/>
  <c r="AN23" i="4"/>
  <c r="BI23" i="4" s="1"/>
  <c r="AF23" i="4"/>
  <c r="Z23" i="4"/>
  <c r="AW23" i="4" s="1"/>
  <c r="AJ23" i="4"/>
  <c r="BF23" i="4" s="1"/>
  <c r="AC23" i="4"/>
  <c r="AZ23" i="4" s="1"/>
  <c r="AI23" i="4"/>
  <c r="BE23" i="4" s="1"/>
  <c r="AB23" i="4"/>
  <c r="AY23" i="4" s="1"/>
  <c r="AD23" i="4"/>
  <c r="BA23" i="4" s="1"/>
  <c r="AS23" i="4"/>
  <c r="BN23" i="4" s="1"/>
  <c r="E23" i="4"/>
  <c r="P23" i="4" s="1"/>
  <c r="AQ23" i="4"/>
  <c r="BL23" i="4" s="1"/>
  <c r="I23" i="4"/>
  <c r="T23" i="4" s="1"/>
  <c r="J23" i="4"/>
  <c r="U23" i="4" s="1"/>
  <c r="C23" i="4"/>
  <c r="K23" i="4"/>
  <c r="V23" i="4" s="1"/>
  <c r="AR31" i="4"/>
  <c r="BM31" i="4" s="1"/>
  <c r="AS22" i="4"/>
  <c r="BN22" i="4" s="1"/>
  <c r="I22" i="4"/>
  <c r="T22" i="4" s="1"/>
  <c r="E22" i="4"/>
  <c r="P22" i="4" s="1"/>
  <c r="AJ22" i="4"/>
  <c r="BF22" i="4" s="1"/>
  <c r="AQ22" i="4"/>
  <c r="BL22" i="4" s="1"/>
  <c r="AR22" i="4"/>
  <c r="BM22" i="4" s="1"/>
  <c r="H22" i="4"/>
  <c r="S22" i="4" s="1"/>
  <c r="C22" i="4"/>
  <c r="AA22" i="4"/>
  <c r="AX22" i="4" s="1"/>
  <c r="D22" i="4"/>
  <c r="O22" i="4" s="1"/>
  <c r="AT22" i="4"/>
  <c r="BO22" i="4" s="1"/>
  <c r="AB22" i="4"/>
  <c r="AY22" i="4" s="1"/>
  <c r="AC35" i="4"/>
  <c r="AZ35" i="4" s="1"/>
  <c r="AC24" i="4"/>
  <c r="AZ24" i="4" s="1"/>
  <c r="AJ21" i="4"/>
  <c r="BF21" i="4" s="1"/>
  <c r="I21" i="4"/>
  <c r="T21" i="4" s="1"/>
  <c r="AT21" i="4"/>
  <c r="BO21" i="4" s="1"/>
  <c r="H21" i="4"/>
  <c r="S21" i="4" s="1"/>
  <c r="X21" i="4"/>
  <c r="J21" i="4"/>
  <c r="U21" i="4" s="1"/>
  <c r="AQ21" i="4"/>
  <c r="BL21" i="4" s="1"/>
  <c r="Y21" i="4"/>
  <c r="AV21" i="4" s="1"/>
  <c r="AA21" i="4"/>
  <c r="AX21" i="4" s="1"/>
  <c r="K21" i="4"/>
  <c r="V21" i="4" s="1"/>
  <c r="AB21" i="4"/>
  <c r="AY21" i="4" s="1"/>
  <c r="Z21" i="4"/>
  <c r="AW21" i="4" s="1"/>
  <c r="AC21" i="4"/>
  <c r="AZ21" i="4" s="1"/>
  <c r="E21" i="4"/>
  <c r="P21" i="4" s="1"/>
  <c r="AK21" i="4"/>
  <c r="BG21" i="4" s="1"/>
  <c r="AD21" i="4"/>
  <c r="BA21" i="4" s="1"/>
  <c r="AI21" i="4"/>
  <c r="BE21" i="4" s="1"/>
  <c r="AR24" i="4"/>
  <c r="BM24" i="4" s="1"/>
  <c r="B36" i="4"/>
  <c r="AB35" i="4"/>
  <c r="AY35" i="4" s="1"/>
  <c r="AN22" i="4"/>
  <c r="BI22" i="4" s="1"/>
  <c r="B35" i="4"/>
  <c r="K35" i="4"/>
  <c r="V35" i="4" s="1"/>
  <c r="AU39" i="4"/>
  <c r="AA35" i="4"/>
  <c r="AX35" i="4" s="1"/>
  <c r="AS34" i="4"/>
  <c r="BN34" i="4" s="1"/>
  <c r="I32" i="4"/>
  <c r="T32" i="4" s="1"/>
  <c r="AK32" i="4"/>
  <c r="BG32" i="4" s="1"/>
  <c r="Y32" i="4"/>
  <c r="AV32" i="4" s="1"/>
  <c r="E32" i="4"/>
  <c r="P32" i="4" s="1"/>
  <c r="H32" i="4"/>
  <c r="S32" i="4" s="1"/>
  <c r="J32" i="4"/>
  <c r="U32" i="4" s="1"/>
  <c r="AI32" i="4"/>
  <c r="BE32" i="4" s="1"/>
  <c r="K32" i="4"/>
  <c r="V32" i="4" s="1"/>
  <c r="AR32" i="4"/>
  <c r="BM32" i="4" s="1"/>
  <c r="B32" i="4"/>
  <c r="AQ32" i="4"/>
  <c r="BL32" i="4" s="1"/>
  <c r="AL32" i="4"/>
  <c r="BH32" i="4" s="1"/>
  <c r="AC32" i="4"/>
  <c r="AZ32" i="4" s="1"/>
  <c r="AD32" i="4"/>
  <c r="BA32" i="4" s="1"/>
  <c r="AE35" i="4"/>
  <c r="AF25" i="4"/>
  <c r="I25" i="4"/>
  <c r="T25" i="4" s="1"/>
  <c r="AM25" i="4"/>
  <c r="J25" i="4"/>
  <c r="U25" i="4" s="1"/>
  <c r="AK25" i="4"/>
  <c r="BG25" i="4" s="1"/>
  <c r="AN25" i="4"/>
  <c r="AR25" i="4"/>
  <c r="BM25" i="4" s="1"/>
  <c r="K25" i="4"/>
  <c r="V25" i="4" s="1"/>
  <c r="AT25" i="4"/>
  <c r="BO25" i="4" s="1"/>
  <c r="AS25" i="4"/>
  <c r="BN25" i="4" s="1"/>
  <c r="AI25" i="4"/>
  <c r="BE25" i="4" s="1"/>
  <c r="E25" i="4"/>
  <c r="P25" i="4" s="1"/>
  <c r="AQ25" i="4"/>
  <c r="BL25" i="4" s="1"/>
  <c r="AD35" i="4"/>
  <c r="BA35" i="4" s="1"/>
  <c r="AD24" i="4"/>
  <c r="BA24" i="4" s="1"/>
  <c r="AJ25" i="4"/>
  <c r="BF25" i="4" s="1"/>
  <c r="K24" i="4"/>
  <c r="V24" i="4" s="1"/>
  <c r="AM34" i="4"/>
  <c r="AL22" i="4"/>
  <c r="BH22" i="4" s="1"/>
  <c r="AJ33" i="4"/>
  <c r="BF33" i="4" s="1"/>
  <c r="J35" i="4"/>
  <c r="U35" i="4" s="1"/>
  <c r="J24" i="4"/>
  <c r="U24" i="4" s="1"/>
  <c r="AE34" i="4"/>
  <c r="AF22" i="4"/>
  <c r="AJ34" i="4"/>
  <c r="BF34" i="4" s="1"/>
  <c r="AQ34" i="4"/>
  <c r="BL34" i="4" s="1"/>
  <c r="D25" i="4"/>
  <c r="O25" i="4" s="1"/>
  <c r="I24" i="4"/>
  <c r="T24" i="4" s="1"/>
  <c r="AD34" i="4"/>
  <c r="BA34" i="4" s="1"/>
  <c r="AD22" i="4"/>
  <c r="BA22" i="4" s="1"/>
  <c r="AK24" i="4"/>
  <c r="BG24" i="4" s="1"/>
  <c r="C25" i="4"/>
  <c r="I35" i="4"/>
  <c r="T35" i="4" s="1"/>
  <c r="H24" i="4"/>
  <c r="S24" i="4" s="1"/>
  <c r="AC34" i="4"/>
  <c r="AZ34" i="4" s="1"/>
  <c r="W33" i="4"/>
  <c r="AQ24" i="4"/>
  <c r="BL24" i="4" s="1"/>
  <c r="AT23" i="4"/>
  <c r="BO23" i="4" s="1"/>
  <c r="K33" i="4"/>
  <c r="V33" i="4" s="1"/>
  <c r="K22" i="4"/>
  <c r="V22" i="4" s="1"/>
  <c r="AT32" i="4"/>
  <c r="BO32" i="4" s="1"/>
  <c r="AN21" i="4"/>
  <c r="Z33" i="4"/>
  <c r="AW33" i="4" s="1"/>
  <c r="J33" i="4"/>
  <c r="U33" i="4" s="1"/>
  <c r="J22" i="4"/>
  <c r="U22" i="4" s="1"/>
  <c r="AN32" i="4"/>
  <c r="I36" i="4"/>
  <c r="T36" i="4" s="1"/>
  <c r="D36" i="4"/>
  <c r="O36" i="4" s="1"/>
  <c r="H36" i="4"/>
  <c r="S36" i="4" s="1"/>
  <c r="AI36" i="4"/>
  <c r="BE36" i="4" s="1"/>
  <c r="AK36" i="4"/>
  <c r="BG36" i="4" s="1"/>
  <c r="AQ36" i="4"/>
  <c r="BL36" i="4" s="1"/>
  <c r="AS36" i="4"/>
  <c r="BN36" i="4" s="1"/>
  <c r="C36" i="4"/>
  <c r="Y36" i="4"/>
  <c r="AV36" i="4" s="1"/>
  <c r="J36" i="4"/>
  <c r="U36" i="4" s="1"/>
  <c r="K36" i="4"/>
  <c r="V36" i="4" s="1"/>
  <c r="AT36" i="4"/>
  <c r="BO36" i="4" s="1"/>
  <c r="W36" i="4"/>
  <c r="Z36" i="4"/>
  <c r="AW36" i="4" s="1"/>
  <c r="E36" i="4"/>
  <c r="P36" i="4" s="1"/>
  <c r="AA36" i="4"/>
  <c r="AX36" i="4" s="1"/>
  <c r="AE36" i="4"/>
  <c r="AJ36" i="4"/>
  <c r="BF36" i="4" s="1"/>
  <c r="AM36" i="4"/>
  <c r="AR36" i="4"/>
  <c r="BM36" i="4" s="1"/>
  <c r="AJ31" i="4"/>
  <c r="BF31" i="4" s="1"/>
  <c r="H23" i="4"/>
  <c r="S23" i="4" s="1"/>
  <c r="AM32" i="4"/>
  <c r="AL34" i="4"/>
  <c r="BH34" i="4" s="1"/>
  <c r="AR34" i="4"/>
  <c r="BM34" i="4" s="1"/>
  <c r="B34" i="4"/>
  <c r="AK34" i="4"/>
  <c r="BG34" i="4" s="1"/>
  <c r="AT34" i="4"/>
  <c r="BO34" i="4" s="1"/>
  <c r="AB34" i="4"/>
  <c r="AY34" i="4" s="1"/>
  <c r="E34" i="4"/>
  <c r="P34" i="4" s="1"/>
  <c r="W34" i="4"/>
  <c r="Z34" i="4"/>
  <c r="AW34" i="4" s="1"/>
  <c r="AA34" i="4"/>
  <c r="AX34" i="4" s="1"/>
  <c r="AN34" i="4"/>
  <c r="H34" i="4"/>
  <c r="S34" i="4" s="1"/>
  <c r="I34" i="4"/>
  <c r="T34" i="4" s="1"/>
  <c r="J34" i="4"/>
  <c r="U34" i="4" s="1"/>
  <c r="K34" i="4"/>
  <c r="V34" i="4" s="1"/>
  <c r="AF30" i="4"/>
  <c r="BB30" i="4" s="1"/>
  <c r="K30" i="4"/>
  <c r="V30" i="4" s="1"/>
  <c r="AM30" i="4"/>
  <c r="Z30" i="4"/>
  <c r="AW30" i="4" s="1"/>
  <c r="E30" i="4"/>
  <c r="P30" i="4" s="1"/>
  <c r="AN30" i="4"/>
  <c r="AI30" i="4"/>
  <c r="BE30" i="4" s="1"/>
  <c r="AQ30" i="4"/>
  <c r="BL30" i="4" s="1"/>
  <c r="AJ30" i="4"/>
  <c r="BF30" i="4" s="1"/>
  <c r="AT30" i="4"/>
  <c r="BO30" i="4" s="1"/>
  <c r="D30" i="4"/>
  <c r="O30" i="4" s="1"/>
  <c r="AK30" i="4"/>
  <c r="BG30" i="4" s="1"/>
  <c r="W30" i="4"/>
  <c r="Y30" i="4"/>
  <c r="AV30" i="4" s="1"/>
  <c r="AD36" i="4"/>
  <c r="BA36" i="4" s="1"/>
  <c r="AR30" i="4"/>
  <c r="BM30" i="4" s="1"/>
  <c r="X36" i="4"/>
  <c r="AK35" i="4"/>
  <c r="BG35" i="4" s="1"/>
  <c r="AR35" i="4"/>
  <c r="BM35" i="4" s="1"/>
  <c r="AL35" i="4"/>
  <c r="BH35" i="4" s="1"/>
  <c r="AQ35" i="4"/>
  <c r="BL35" i="4" s="1"/>
  <c r="AI35" i="4"/>
  <c r="BE35" i="4" s="1"/>
  <c r="AM35" i="4"/>
  <c r="AS35" i="4"/>
  <c r="BN35" i="4" s="1"/>
  <c r="AT35" i="4"/>
  <c r="BO35" i="4" s="1"/>
  <c r="AJ35" i="4"/>
  <c r="BF35" i="4" s="1"/>
  <c r="E35" i="4"/>
  <c r="P35" i="4" s="1"/>
  <c r="W35" i="4"/>
  <c r="Z35" i="4"/>
  <c r="AW35" i="4" s="1"/>
  <c r="AS32" i="4"/>
  <c r="BN32" i="4" s="1"/>
  <c r="AS30" i="4"/>
  <c r="BN30" i="4" s="1"/>
  <c r="D24" i="4"/>
  <c r="O24" i="4" s="1"/>
  <c r="AL36" i="4"/>
  <c r="BH36" i="4" s="1"/>
  <c r="D23" i="4"/>
  <c r="O23" i="4" s="1"/>
  <c r="E31" i="4"/>
  <c r="P31" i="4" s="1"/>
  <c r="AT31" i="4"/>
  <c r="BO31" i="4" s="1"/>
  <c r="J31" i="4"/>
  <c r="U31" i="4" s="1"/>
  <c r="AB31" i="4"/>
  <c r="AY31" i="4" s="1"/>
  <c r="Y31" i="4"/>
  <c r="AV31" i="4" s="1"/>
  <c r="H31" i="4"/>
  <c r="S31" i="4" s="1"/>
  <c r="K31" i="4"/>
  <c r="V31" i="4" s="1"/>
  <c r="W31" i="4"/>
  <c r="I31" i="4"/>
  <c r="T31" i="4" s="1"/>
  <c r="Z31" i="4"/>
  <c r="AW31" i="4" s="1"/>
  <c r="AA31" i="4"/>
  <c r="AX31" i="4" s="1"/>
  <c r="AL31" i="4"/>
  <c r="BH31" i="4" s="1"/>
  <c r="AK31" i="4"/>
  <c r="BG31" i="4" s="1"/>
  <c r="AC31" i="4"/>
  <c r="AZ31" i="4" s="1"/>
  <c r="AD31" i="4"/>
  <c r="BA31" i="4" s="1"/>
  <c r="AS31" i="4"/>
  <c r="BN31" i="4" s="1"/>
  <c r="B31" i="4"/>
  <c r="AE31" i="4"/>
  <c r="AM31" i="4"/>
  <c r="AN31" i="4"/>
  <c r="AC36" i="4"/>
  <c r="AZ36" i="4" s="1"/>
  <c r="C24" i="4"/>
  <c r="AU16" i="4"/>
  <c r="D31" i="4"/>
  <c r="O31" i="4" s="1"/>
  <c r="AE32" i="4"/>
  <c r="D32" i="4"/>
  <c r="O32" i="4" s="1"/>
  <c r="AS33" i="4"/>
  <c r="BN33" i="4" s="1"/>
  <c r="J30" i="4"/>
  <c r="U30" i="4" s="1"/>
  <c r="AB32" i="4"/>
  <c r="AY32" i="4" s="1"/>
  <c r="N45" i="4"/>
  <c r="I30" i="4"/>
  <c r="T30" i="4" s="1"/>
  <c r="AA32" i="4"/>
  <c r="AX32" i="4" s="1"/>
  <c r="AK22" i="4"/>
  <c r="BG22" i="4" s="1"/>
  <c r="AS21" i="4"/>
  <c r="BN21" i="4" s="1"/>
  <c r="H30" i="4"/>
  <c r="S30" i="4" s="1"/>
  <c r="Z32" i="4"/>
  <c r="AW32" i="4" s="1"/>
  <c r="AS29" i="4"/>
  <c r="BN29" i="4" s="1"/>
  <c r="AT29" i="4"/>
  <c r="BO29" i="4" s="1"/>
  <c r="N13" i="4"/>
  <c r="AK20" i="4"/>
  <c r="BG20" i="4" s="1"/>
  <c r="AQ28" i="4"/>
  <c r="BL28" i="4" s="1"/>
  <c r="K28" i="4"/>
  <c r="V28" i="4" s="1"/>
  <c r="AN29" i="4"/>
  <c r="BB26" i="4"/>
  <c r="AS46" i="4"/>
  <c r="BN46" i="4" s="1"/>
  <c r="H13" i="4"/>
  <c r="S13" i="4" s="1"/>
  <c r="AB51" i="4"/>
  <c r="AY51" i="4" s="1"/>
  <c r="W48" i="4"/>
  <c r="AU48" i="4" s="1"/>
  <c r="W45" i="4"/>
  <c r="AU45" i="4" s="1"/>
  <c r="AM29" i="4"/>
  <c r="Y27" i="4"/>
  <c r="AV27" i="4" s="1"/>
  <c r="X19" i="4"/>
  <c r="Y16" i="4"/>
  <c r="AV16" i="4" s="1"/>
  <c r="Y13" i="4"/>
  <c r="AV13" i="4" s="1"/>
  <c r="BI26" i="4"/>
  <c r="N48" i="4"/>
  <c r="E20" i="4"/>
  <c r="P20" i="4" s="1"/>
  <c r="AB29" i="4"/>
  <c r="AY29" i="4" s="1"/>
  <c r="AG51" i="4"/>
  <c r="BC51" i="4" s="1"/>
  <c r="AU9" i="4"/>
  <c r="AT27" i="4"/>
  <c r="BO27" i="4" s="1"/>
  <c r="AT28" i="4"/>
  <c r="BO28" i="4" s="1"/>
  <c r="AJ11" i="4"/>
  <c r="BF11" i="4" s="1"/>
  <c r="I27" i="4"/>
  <c r="T27" i="4" s="1"/>
  <c r="AA29" i="4"/>
  <c r="AX29" i="4" s="1"/>
  <c r="W28" i="4"/>
  <c r="AU14" i="4"/>
  <c r="Z29" i="4"/>
  <c r="AW29" i="4" s="1"/>
  <c r="C27" i="4"/>
  <c r="AJ45" i="4"/>
  <c r="BF45" i="4" s="1"/>
  <c r="Y29" i="4"/>
  <c r="AV29" i="4" s="1"/>
  <c r="N11" i="4"/>
  <c r="E29" i="4"/>
  <c r="P29" i="4" s="1"/>
  <c r="AS28" i="4"/>
  <c r="BN28" i="4" s="1"/>
  <c r="AN28" i="4"/>
  <c r="BI28" i="4" s="1"/>
  <c r="AI27" i="4"/>
  <c r="BE27" i="4" s="1"/>
  <c r="AJ46" i="4"/>
  <c r="BF46" i="4" s="1"/>
  <c r="AU38" i="4"/>
  <c r="AQ29" i="4"/>
  <c r="BL29" i="4" s="1"/>
  <c r="AQ20" i="4"/>
  <c r="BL20" i="4" s="1"/>
  <c r="AD28" i="4"/>
  <c r="BA28" i="4" s="1"/>
  <c r="AD20" i="4"/>
  <c r="BA20" i="4" s="1"/>
  <c r="AJ48" i="4"/>
  <c r="BF48" i="4" s="1"/>
  <c r="AQ43" i="4"/>
  <c r="BL43" i="4" s="1"/>
  <c r="K20" i="4"/>
  <c r="V20" i="4" s="1"/>
  <c r="AB28" i="4"/>
  <c r="AY28" i="4" s="1"/>
  <c r="AJ51" i="4"/>
  <c r="BF51" i="4" s="1"/>
  <c r="N44" i="4"/>
  <c r="AF28" i="4"/>
  <c r="BB28" i="4" s="1"/>
  <c r="AC20" i="4"/>
  <c r="AZ20" i="4" s="1"/>
  <c r="AU17" i="4"/>
  <c r="E51" i="4"/>
  <c r="P51" i="4" s="1"/>
  <c r="AB20" i="4"/>
  <c r="AY20" i="4" s="1"/>
  <c r="AS19" i="4"/>
  <c r="BN19" i="4" s="1"/>
  <c r="J20" i="4"/>
  <c r="U20" i="4" s="1"/>
  <c r="AA28" i="4"/>
  <c r="AX28" i="4" s="1"/>
  <c r="AA20" i="4"/>
  <c r="AX20" i="4" s="1"/>
  <c r="AS51" i="4"/>
  <c r="BN51" i="4" s="1"/>
  <c r="AO51" i="4"/>
  <c r="BJ51" i="4" s="1"/>
  <c r="D29" i="4"/>
  <c r="O29" i="4" s="1"/>
  <c r="N15" i="4"/>
  <c r="N7" i="4"/>
  <c r="N40" i="4"/>
  <c r="AI28" i="4"/>
  <c r="BE28" i="4" s="1"/>
  <c r="AR20" i="4"/>
  <c r="BM20" i="4" s="1"/>
  <c r="AT20" i="4"/>
  <c r="BO20" i="4" s="1"/>
  <c r="AJ16" i="4"/>
  <c r="BF16" i="4" s="1"/>
  <c r="D13" i="4"/>
  <c r="O13" i="4" s="1"/>
  <c r="K51" i="4"/>
  <c r="V51" i="4" s="1"/>
  <c r="I46" i="4"/>
  <c r="T46" i="4" s="1"/>
  <c r="W46" i="4"/>
  <c r="AU46" i="4" s="1"/>
  <c r="Y28" i="4"/>
  <c r="AV28" i="4" s="1"/>
  <c r="Y20" i="4"/>
  <c r="AV20" i="4" s="1"/>
  <c r="AD14" i="4"/>
  <c r="BA14" i="4" s="1"/>
  <c r="AC9" i="4"/>
  <c r="AZ9" i="4" s="1"/>
  <c r="AL11" i="4"/>
  <c r="BH11" i="4" s="1"/>
  <c r="D28" i="4"/>
  <c r="O28" i="4" s="1"/>
  <c r="AC28" i="4"/>
  <c r="AZ28" i="4" s="1"/>
  <c r="AJ20" i="4"/>
  <c r="BF20" i="4" s="1"/>
  <c r="AT46" i="4"/>
  <c r="BO46" i="4" s="1"/>
  <c r="AK29" i="4"/>
  <c r="BG29" i="4" s="1"/>
  <c r="D27" i="4"/>
  <c r="O27" i="4" s="1"/>
  <c r="B51" i="4"/>
  <c r="N51" i="4" s="1"/>
  <c r="I20" i="4"/>
  <c r="T20" i="4" s="1"/>
  <c r="AC43" i="4"/>
  <c r="AZ43" i="4" s="1"/>
  <c r="X20" i="4"/>
  <c r="AQ11" i="4"/>
  <c r="BL11" i="4" s="1"/>
  <c r="AL14" i="4"/>
  <c r="BH14" i="4" s="1"/>
  <c r="AI29" i="4"/>
  <c r="BE29" i="4" s="1"/>
  <c r="AK19" i="4"/>
  <c r="BG19" i="4" s="1"/>
  <c r="AL51" i="4"/>
  <c r="BH51" i="4" s="1"/>
  <c r="AK27" i="4"/>
  <c r="BG27" i="4" s="1"/>
  <c r="Z19" i="4"/>
  <c r="AW19" i="4" s="1"/>
  <c r="AC14" i="4"/>
  <c r="AZ14" i="4" s="1"/>
  <c r="AN11" i="4"/>
  <c r="AU4" i="4"/>
  <c r="G39" i="3"/>
  <c r="F39" i="1" s="1"/>
  <c r="G26" i="3"/>
  <c r="F26" i="1" s="1"/>
  <c r="AP27" i="4" s="1"/>
  <c r="BK27" i="4" s="1"/>
  <c r="G50" i="3"/>
  <c r="F50" i="1" s="1"/>
  <c r="AP51" i="4" s="1"/>
  <c r="BK51" i="4" s="1"/>
  <c r="G18" i="3"/>
  <c r="F18" i="1" s="1"/>
  <c r="AP19" i="4" s="1"/>
  <c r="BK19" i="4" s="1"/>
  <c r="G10" i="3"/>
  <c r="F10" i="1" s="1"/>
  <c r="AH11" i="4" s="1"/>
  <c r="BD11" i="4" s="1"/>
  <c r="G41" i="3"/>
  <c r="F41" i="1" s="1"/>
  <c r="AP42" i="4" s="1"/>
  <c r="BK42" i="4" s="1"/>
  <c r="G11" i="3"/>
  <c r="F11" i="1" s="1"/>
  <c r="G17" i="3"/>
  <c r="F17" i="1" s="1"/>
  <c r="G16" i="3"/>
  <c r="F16" i="1" s="1"/>
  <c r="AP17" i="4" s="1"/>
  <c r="BK17" i="4" s="1"/>
  <c r="G45" i="3"/>
  <c r="F45" i="1" s="1"/>
  <c r="G48" i="3"/>
  <c r="F48" i="1" s="1"/>
  <c r="AP49" i="4" s="1"/>
  <c r="BK49" i="4" s="1"/>
  <c r="G46" i="3"/>
  <c r="F46" i="1" s="1"/>
  <c r="AP47" i="4" s="1"/>
  <c r="BK47" i="4" s="1"/>
  <c r="G22" i="3"/>
  <c r="F22" i="1" s="1"/>
  <c r="AH23" i="4" s="1"/>
  <c r="BD23" i="4" s="1"/>
  <c r="G31" i="3"/>
  <c r="F31" i="1" s="1"/>
  <c r="AH32" i="4" s="1"/>
  <c r="BD32" i="4" s="1"/>
  <c r="G43" i="3"/>
  <c r="F43" i="1" s="1"/>
  <c r="G25" i="3"/>
  <c r="F25" i="1" s="1"/>
  <c r="AP26" i="4" s="1"/>
  <c r="BK26" i="4" s="1"/>
  <c r="G12" i="3"/>
  <c r="F12" i="1" s="1"/>
  <c r="G8" i="3"/>
  <c r="F8" i="1" s="1"/>
  <c r="Z9" i="4" s="1"/>
  <c r="AW9" i="4" s="1"/>
  <c r="G7" i="3"/>
  <c r="F7" i="1" s="1"/>
  <c r="Z8" i="4" s="1"/>
  <c r="AW8" i="4" s="1"/>
  <c r="G44" i="3"/>
  <c r="F44" i="1" s="1"/>
  <c r="G30" i="3"/>
  <c r="F30" i="1" s="1"/>
  <c r="AP31" i="4" s="1"/>
  <c r="BK31" i="4" s="1"/>
  <c r="G42" i="3"/>
  <c r="F42" i="1" s="1"/>
  <c r="G14" i="3"/>
  <c r="F14" i="1" s="1"/>
  <c r="AP15" i="4" s="1"/>
  <c r="BK15" i="4" s="1"/>
  <c r="G24" i="3"/>
  <c r="F24" i="1" s="1"/>
  <c r="AH25" i="4" s="1"/>
  <c r="BD25" i="4" s="1"/>
  <c r="G35" i="3"/>
  <c r="F35" i="1" s="1"/>
  <c r="AP36" i="4" s="1"/>
  <c r="BK36" i="4" s="1"/>
  <c r="G9" i="3"/>
  <c r="F9" i="1" s="1"/>
  <c r="AP10" i="4" s="1"/>
  <c r="BK10" i="4" s="1"/>
  <c r="E21" i="3"/>
  <c r="BS22" i="4" s="1"/>
  <c r="E42" i="3"/>
  <c r="BS43" i="4" s="1"/>
  <c r="E3" i="3"/>
  <c r="E3" i="1" s="1"/>
  <c r="AG4" i="4" s="1"/>
  <c r="E46" i="3"/>
  <c r="BS47" i="4" s="1"/>
  <c r="E12" i="3"/>
  <c r="BS13" i="4" s="1"/>
  <c r="E10" i="3"/>
  <c r="BS11" i="4" s="1"/>
  <c r="E29" i="3"/>
  <c r="BS30" i="4" s="1"/>
  <c r="E47" i="3"/>
  <c r="BS48" i="4" s="1"/>
  <c r="E7" i="3"/>
  <c r="E28" i="3"/>
  <c r="BS29" i="4" s="1"/>
  <c r="E44" i="3"/>
  <c r="BS45" i="4" s="1"/>
  <c r="E8" i="3"/>
  <c r="BS9" i="4" s="1"/>
  <c r="E40" i="3"/>
  <c r="BS41" i="4" s="1"/>
  <c r="E24" i="3"/>
  <c r="BS25" i="4" s="1"/>
  <c r="E18" i="3"/>
  <c r="BS19" i="4" s="1"/>
  <c r="E39" i="3"/>
  <c r="BS40" i="4" s="1"/>
  <c r="E20" i="3"/>
  <c r="BS21" i="4" s="1"/>
  <c r="E41" i="3"/>
  <c r="BS42" i="4" s="1"/>
  <c r="E25" i="3"/>
  <c r="BS26" i="4" s="1"/>
  <c r="E49" i="3"/>
  <c r="E16" i="3"/>
  <c r="C27" i="3"/>
  <c r="BR28" i="4" s="1"/>
  <c r="C26" i="3"/>
  <c r="C26" i="1" s="1"/>
  <c r="C48" i="3"/>
  <c r="C42" i="3"/>
  <c r="C32" i="3"/>
  <c r="BR33" i="4" s="1"/>
  <c r="C39" i="3"/>
  <c r="BR40" i="4" s="1"/>
  <c r="C28" i="3"/>
  <c r="BR29" i="4" s="1"/>
  <c r="C20" i="3"/>
  <c r="C9" i="3"/>
  <c r="BR10" i="4" s="1"/>
  <c r="C24" i="3"/>
  <c r="BR25" i="4" s="1"/>
  <c r="C33" i="3"/>
  <c r="BR34" i="4" s="1"/>
  <c r="C7" i="3"/>
  <c r="BR8" i="4" s="1"/>
  <c r="C21" i="3"/>
  <c r="BR22" i="4" s="1"/>
  <c r="C13" i="3"/>
  <c r="C35" i="3"/>
  <c r="BR36" i="4" s="1"/>
  <c r="C17" i="3"/>
  <c r="G34" i="3"/>
  <c r="F34" i="1" s="1"/>
  <c r="AP35" i="4" s="1"/>
  <c r="BK35" i="4" s="1"/>
  <c r="E27" i="3"/>
  <c r="BS28" i="4" s="1"/>
  <c r="E11" i="3"/>
  <c r="BS12" i="4" s="1"/>
  <c r="E31" i="3"/>
  <c r="BS32" i="4" s="1"/>
  <c r="E17" i="3"/>
  <c r="BS18" i="4" s="1"/>
  <c r="G19" i="3"/>
  <c r="F19" i="1" s="1"/>
  <c r="AP20" i="4" s="1"/>
  <c r="BK20" i="4" s="1"/>
  <c r="C10" i="3"/>
  <c r="C10" i="1" s="1"/>
  <c r="C45" i="3"/>
  <c r="BR46" i="4" s="1"/>
  <c r="C47" i="3"/>
  <c r="C16" i="3"/>
  <c r="BR17" i="4" s="1"/>
  <c r="E9" i="3"/>
  <c r="BS10" i="4" s="1"/>
  <c r="G29" i="3"/>
  <c r="F29" i="1" s="1"/>
  <c r="AP30" i="4" s="1"/>
  <c r="BK30" i="4" s="1"/>
  <c r="E26" i="3"/>
  <c r="BS27" i="4" s="1"/>
  <c r="E22" i="3"/>
  <c r="BS23" i="4" s="1"/>
  <c r="G21" i="3"/>
  <c r="F21" i="1" s="1"/>
  <c r="AP22" i="4" s="1"/>
  <c r="BK22" i="4" s="1"/>
  <c r="C3" i="3"/>
  <c r="BR4" i="4" s="1"/>
  <c r="E50" i="3"/>
  <c r="BS51" i="4" s="1"/>
  <c r="C19" i="3"/>
  <c r="BR20" i="4" s="1"/>
  <c r="G49" i="3"/>
  <c r="F49" i="1" s="1"/>
  <c r="AP50" i="4" s="1"/>
  <c r="BK50" i="4" s="1"/>
  <c r="E48" i="3"/>
  <c r="BS49" i="4" s="1"/>
  <c r="AU7" i="4"/>
  <c r="C46" i="3"/>
  <c r="G13" i="3"/>
  <c r="F13" i="1" s="1"/>
  <c r="AP14" i="4" s="1"/>
  <c r="BK14" i="4" s="1"/>
  <c r="C12" i="3"/>
  <c r="BR13" i="4" s="1"/>
  <c r="C18" i="3"/>
  <c r="BR19" i="4" s="1"/>
  <c r="N6" i="4"/>
  <c r="N47" i="4"/>
  <c r="C43" i="3"/>
  <c r="C44" i="3"/>
  <c r="BR45" i="4" s="1"/>
  <c r="E30" i="3"/>
  <c r="BS31" i="4" s="1"/>
  <c r="E23" i="3"/>
  <c r="BS24" i="4" s="1"/>
  <c r="C41" i="3"/>
  <c r="BR42" i="4" s="1"/>
  <c r="C50" i="3"/>
  <c r="C40" i="3"/>
  <c r="BR41" i="4" s="1"/>
  <c r="C8" i="3"/>
  <c r="C8" i="1" s="1"/>
  <c r="C49" i="3"/>
  <c r="BR50" i="4" s="1"/>
  <c r="E14" i="3"/>
  <c r="BS15" i="4" s="1"/>
  <c r="C25" i="3"/>
  <c r="C14" i="3"/>
  <c r="BR15" i="4" s="1"/>
  <c r="C30" i="3"/>
  <c r="BR31" i="4" s="1"/>
  <c r="G36" i="3"/>
  <c r="F36" i="1" s="1"/>
  <c r="AP37" i="4" s="1"/>
  <c r="BK37" i="4" s="1"/>
  <c r="BT47" i="4"/>
  <c r="C4" i="3"/>
  <c r="BR5" i="4" s="1"/>
  <c r="C31" i="3"/>
  <c r="G47" i="3"/>
  <c r="F47" i="1" s="1"/>
  <c r="C6" i="3"/>
  <c r="BR7" i="4" s="1"/>
  <c r="E34" i="3"/>
  <c r="N12" i="4"/>
  <c r="AU11" i="4"/>
  <c r="C38" i="3"/>
  <c r="BR39" i="4" s="1"/>
  <c r="C29" i="3"/>
  <c r="BR30" i="4" s="1"/>
  <c r="BT10" i="4"/>
  <c r="E38" i="3"/>
  <c r="BS39" i="4" s="1"/>
  <c r="O6" i="5"/>
  <c r="C34" i="3"/>
  <c r="BR35" i="4" s="1"/>
  <c r="E35" i="3"/>
  <c r="BS36" i="4" s="1"/>
  <c r="E45" i="3"/>
  <c r="G33" i="3"/>
  <c r="F33" i="1" s="1"/>
  <c r="AH34" i="4" s="1"/>
  <c r="BD34" i="4" s="1"/>
  <c r="E36" i="3"/>
  <c r="BS37" i="4" s="1"/>
  <c r="E4" i="3"/>
  <c r="BS5" i="4" s="1"/>
  <c r="G4" i="3"/>
  <c r="F4" i="1" s="1"/>
  <c r="AQ4" i="4"/>
  <c r="BL4" i="4" s="1"/>
  <c r="BT33" i="4"/>
  <c r="G37" i="3"/>
  <c r="F37" i="1" s="1"/>
  <c r="AP38" i="4" s="1"/>
  <c r="BK38" i="4" s="1"/>
  <c r="E6" i="3"/>
  <c r="BS7" i="4" s="1"/>
  <c r="C23" i="3"/>
  <c r="BR24" i="4" s="1"/>
  <c r="G23" i="3"/>
  <c r="F23" i="1" s="1"/>
  <c r="AP24" i="4" s="1"/>
  <c r="BK24" i="4" s="1"/>
  <c r="G5" i="3"/>
  <c r="F5" i="1" s="1"/>
  <c r="AH6" i="4" s="1"/>
  <c r="BD6" i="4" s="1"/>
  <c r="C22" i="3"/>
  <c r="BR23" i="4" s="1"/>
  <c r="BU47" i="4"/>
  <c r="BU30" i="4"/>
  <c r="E37" i="3"/>
  <c r="BS38" i="4" s="1"/>
  <c r="BT42" i="4"/>
  <c r="E33" i="3"/>
  <c r="BS34" i="4" s="1"/>
  <c r="M3" i="1"/>
  <c r="BU32" i="4"/>
  <c r="BU33" i="4"/>
  <c r="G3" i="3"/>
  <c r="F3" i="1" s="1"/>
  <c r="AP4" i="4" s="1"/>
  <c r="C11" i="1"/>
  <c r="K50" i="1"/>
  <c r="M50" i="1" s="1"/>
  <c r="BT51" i="4"/>
  <c r="C15" i="3"/>
  <c r="BR16" i="4" s="1"/>
  <c r="E15" i="3"/>
  <c r="BS16" i="4" s="1"/>
  <c r="G15" i="3"/>
  <c r="F15" i="1" s="1"/>
  <c r="AP16" i="4" s="1"/>
  <c r="BK16" i="4" s="1"/>
  <c r="K10" i="1"/>
  <c r="M10" i="1" s="1"/>
  <c r="BT11" i="4"/>
  <c r="N17" i="4"/>
  <c r="O9" i="4"/>
  <c r="G32" i="3"/>
  <c r="F32" i="1" s="1"/>
  <c r="AP33" i="4" s="1"/>
  <c r="BK33" i="4" s="1"/>
  <c r="E32" i="3"/>
  <c r="L3" i="1"/>
  <c r="K11" i="1"/>
  <c r="BT12" i="4"/>
  <c r="N43" i="4"/>
  <c r="AU40" i="4"/>
  <c r="AU12" i="4"/>
  <c r="P28" i="1"/>
  <c r="BU29" i="4"/>
  <c r="N37" i="4"/>
  <c r="AU41" i="4"/>
  <c r="AU8" i="4"/>
  <c r="P22" i="1"/>
  <c r="BU23" i="4"/>
  <c r="AU37" i="4"/>
  <c r="G40" i="3"/>
  <c r="F40" i="1" s="1"/>
  <c r="AP41" i="4" s="1"/>
  <c r="BK41" i="4" s="1"/>
  <c r="G6" i="3"/>
  <c r="F6" i="1" s="1"/>
  <c r="AH7" i="4" s="1"/>
  <c r="BD7" i="4" s="1"/>
  <c r="G27" i="3"/>
  <c r="F27" i="1" s="1"/>
  <c r="AP28" i="4" s="1"/>
  <c r="BK28" i="4" s="1"/>
  <c r="G28" i="3"/>
  <c r="F28" i="1" s="1"/>
  <c r="AP29" i="4" s="1"/>
  <c r="BK29" i="4" s="1"/>
  <c r="G20" i="3"/>
  <c r="F20" i="1" s="1"/>
  <c r="AP21" i="4" s="1"/>
  <c r="BK21" i="4" s="1"/>
  <c r="G38" i="3"/>
  <c r="F38" i="1" s="1"/>
  <c r="AP39" i="4" s="1"/>
  <c r="BK39" i="4" s="1"/>
  <c r="E5" i="3"/>
  <c r="K49" i="3"/>
  <c r="L49" i="1" s="1"/>
  <c r="K4" i="3"/>
  <c r="L4" i="1" s="1"/>
  <c r="K40" i="3"/>
  <c r="L40" i="1" s="1"/>
  <c r="M49" i="3"/>
  <c r="K29" i="3"/>
  <c r="L29" i="1" s="1"/>
  <c r="K43" i="3"/>
  <c r="L43" i="1" s="1"/>
  <c r="E19" i="3"/>
  <c r="K36" i="3"/>
  <c r="L36" i="1" s="1"/>
  <c r="K44" i="3"/>
  <c r="L44" i="1" s="1"/>
  <c r="K32" i="3"/>
  <c r="L32" i="1" s="1"/>
  <c r="M44" i="3"/>
  <c r="K39" i="3"/>
  <c r="L39" i="1" s="1"/>
  <c r="O23" i="3"/>
  <c r="Q23" i="1" s="1"/>
  <c r="M39" i="3"/>
  <c r="O35" i="3"/>
  <c r="Q35" i="1" s="1"/>
  <c r="I27" i="3"/>
  <c r="K33" i="3"/>
  <c r="L33" i="1" s="1"/>
  <c r="K50" i="3"/>
  <c r="L50" i="1" s="1"/>
  <c r="I49" i="3"/>
  <c r="M5" i="3"/>
  <c r="M47" i="3"/>
  <c r="M40" i="3"/>
  <c r="K35" i="3"/>
  <c r="L35" i="1" s="1"/>
  <c r="I24" i="3"/>
  <c r="O48" i="3"/>
  <c r="Q48" i="1" s="1"/>
  <c r="M45" i="3"/>
  <c r="K41" i="3"/>
  <c r="L41" i="1" s="1"/>
  <c r="E43" i="3"/>
  <c r="E13" i="3"/>
  <c r="BS14" i="4" s="1"/>
  <c r="K10" i="3"/>
  <c r="L10" i="1" s="1"/>
  <c r="M50" i="3"/>
  <c r="M36" i="3"/>
  <c r="K31" i="3"/>
  <c r="L31" i="1" s="1"/>
  <c r="O46" i="3"/>
  <c r="Q46" i="1" s="1"/>
  <c r="O47" i="3"/>
  <c r="Q47" i="1" s="1"/>
  <c r="M10" i="3"/>
  <c r="O13" i="3"/>
  <c r="Q13" i="1" s="1"/>
  <c r="I35" i="3"/>
  <c r="I37" i="3"/>
  <c r="I30" i="3"/>
  <c r="M19" i="3"/>
  <c r="I4" i="3"/>
  <c r="K13" i="3"/>
  <c r="L13" i="1" s="1"/>
  <c r="K27" i="3"/>
  <c r="L27" i="1" s="1"/>
  <c r="M3" i="3"/>
  <c r="M42" i="3"/>
  <c r="O17" i="3"/>
  <c r="Q17" i="1" s="1"/>
  <c r="K18" i="3"/>
  <c r="L18" i="1" s="1"/>
  <c r="M4" i="3"/>
  <c r="O21" i="3"/>
  <c r="Q21" i="1" s="1"/>
  <c r="I43" i="3"/>
  <c r="K24" i="3"/>
  <c r="L24" i="1" s="1"/>
  <c r="I38" i="3"/>
  <c r="I42" i="3"/>
  <c r="M33" i="3"/>
  <c r="M25" i="3"/>
  <c r="O18" i="3"/>
  <c r="Q18" i="1" s="1"/>
  <c r="M11" i="3"/>
  <c r="M34" i="3"/>
  <c r="K14" i="3"/>
  <c r="L14" i="1" s="1"/>
  <c r="M24" i="3"/>
  <c r="K15" i="3"/>
  <c r="L15" i="1" s="1"/>
  <c r="K6" i="3"/>
  <c r="L6" i="1" s="1"/>
  <c r="K5" i="3"/>
  <c r="L5" i="1" s="1"/>
  <c r="M14" i="3"/>
  <c r="M37" i="3"/>
  <c r="K17" i="3"/>
  <c r="L17" i="1" s="1"/>
  <c r="M20" i="3"/>
  <c r="K11" i="3"/>
  <c r="L11" i="1" s="1"/>
  <c r="O33" i="3"/>
  <c r="Q33" i="1" s="1"/>
  <c r="K8" i="3"/>
  <c r="L8" i="1" s="1"/>
  <c r="M17" i="3"/>
  <c r="O50" i="3"/>
  <c r="Q50" i="1" s="1"/>
  <c r="O30" i="3"/>
  <c r="Q30" i="1" s="1"/>
  <c r="O4" i="3"/>
  <c r="Q4" i="1" s="1"/>
  <c r="M7" i="3"/>
  <c r="K42" i="3"/>
  <c r="L42" i="1" s="1"/>
  <c r="K20" i="3"/>
  <c r="L20" i="1" s="1"/>
  <c r="M16" i="3"/>
  <c r="K7" i="3"/>
  <c r="L7" i="1" s="1"/>
  <c r="O8" i="3"/>
  <c r="Q8" i="1" s="1"/>
  <c r="O5" i="3"/>
  <c r="Q5" i="1" s="1"/>
  <c r="O39" i="3"/>
  <c r="Q39" i="1" s="1"/>
  <c r="M23" i="3"/>
  <c r="K22" i="3"/>
  <c r="L22" i="1" s="1"/>
  <c r="K45" i="3"/>
  <c r="L45" i="1" s="1"/>
  <c r="M35" i="3"/>
  <c r="M12" i="3"/>
  <c r="K12" i="3"/>
  <c r="L12" i="1" s="1"/>
  <c r="O41" i="3"/>
  <c r="Q41" i="1" s="1"/>
  <c r="M26" i="3"/>
  <c r="K25" i="3"/>
  <c r="L25" i="1" s="1"/>
  <c r="O34" i="3"/>
  <c r="Q34" i="1" s="1"/>
  <c r="K48" i="3"/>
  <c r="L48" i="1" s="1"/>
  <c r="M38" i="3"/>
  <c r="M8" i="3"/>
  <c r="O10" i="3"/>
  <c r="Q10" i="1" s="1"/>
  <c r="K28" i="3"/>
  <c r="L28" i="1" s="1"/>
  <c r="M15" i="3"/>
  <c r="M41" i="3"/>
  <c r="K30" i="3"/>
  <c r="L30" i="1" s="1"/>
  <c r="O12" i="3"/>
  <c r="Q12" i="1" s="1"/>
  <c r="O49" i="3"/>
  <c r="Q49" i="1" s="1"/>
  <c r="K34" i="3"/>
  <c r="L34" i="1" s="1"/>
  <c r="M43" i="3"/>
  <c r="K38" i="3"/>
  <c r="L38" i="1" s="1"/>
  <c r="M18" i="3"/>
  <c r="K46" i="3"/>
  <c r="L46" i="1" s="1"/>
  <c r="M48" i="1" l="1"/>
  <c r="P13" i="1"/>
  <c r="BU14" i="4"/>
  <c r="BR37" i="4"/>
  <c r="K18" i="1"/>
  <c r="M18" i="1" s="1"/>
  <c r="BT19" i="4"/>
  <c r="BT49" i="4"/>
  <c r="M11" i="1"/>
  <c r="AI4" i="4"/>
  <c r="BE4" i="4" s="1"/>
  <c r="K8" i="1"/>
  <c r="M8" i="1" s="1"/>
  <c r="BT9" i="4"/>
  <c r="M13" i="1"/>
  <c r="H4" i="4"/>
  <c r="S4" i="4" s="1"/>
  <c r="K36" i="1"/>
  <c r="M36" i="1" s="1"/>
  <c r="BT37" i="4"/>
  <c r="M41" i="1"/>
  <c r="K44" i="1"/>
  <c r="M44" i="1" s="1"/>
  <c r="BT45" i="4"/>
  <c r="M31" i="1"/>
  <c r="N31" i="1" s="1"/>
  <c r="M32" i="1"/>
  <c r="K15" i="1"/>
  <c r="M15" i="1" s="1"/>
  <c r="N15" i="1" s="1"/>
  <c r="BT16" i="4"/>
  <c r="C24" i="1"/>
  <c r="B25" i="4" s="1"/>
  <c r="BR27" i="4"/>
  <c r="E8" i="1"/>
  <c r="AO9" i="4" s="1"/>
  <c r="BJ9" i="4" s="1"/>
  <c r="E10" i="4"/>
  <c r="P10" i="4" s="1"/>
  <c r="Z10" i="4"/>
  <c r="AW10" i="4" s="1"/>
  <c r="AH9" i="4"/>
  <c r="BD9" i="4" s="1"/>
  <c r="E9" i="4"/>
  <c r="P9" i="4" s="1"/>
  <c r="M46" i="1"/>
  <c r="C5" i="1"/>
  <c r="AM6" i="4" s="1"/>
  <c r="BI6" i="4" s="1"/>
  <c r="M12" i="1"/>
  <c r="M9" i="1"/>
  <c r="BI33" i="4"/>
  <c r="BT30" i="4"/>
  <c r="K29" i="1"/>
  <c r="M29" i="1" s="1"/>
  <c r="K5" i="1"/>
  <c r="M5" i="1" s="1"/>
  <c r="N5" i="1" s="1"/>
  <c r="BT6" i="4"/>
  <c r="K34" i="1"/>
  <c r="M34" i="1" s="1"/>
  <c r="N34" i="1" s="1"/>
  <c r="BT35" i="4"/>
  <c r="K17" i="1"/>
  <c r="M17" i="1" s="1"/>
  <c r="N17" i="1" s="1"/>
  <c r="BT18" i="4"/>
  <c r="K21" i="1"/>
  <c r="M21" i="1" s="1"/>
  <c r="N21" i="1" s="1"/>
  <c r="BT22" i="4"/>
  <c r="K33" i="1"/>
  <c r="M33" i="1" s="1"/>
  <c r="N33" i="1" s="1"/>
  <c r="BT34" i="4"/>
  <c r="K40" i="1"/>
  <c r="M40" i="1" s="1"/>
  <c r="N40" i="1" s="1"/>
  <c r="BT41" i="4"/>
  <c r="BT27" i="4"/>
  <c r="K26" i="1"/>
  <c r="M26" i="1" s="1"/>
  <c r="K14" i="1"/>
  <c r="M14" i="1" s="1"/>
  <c r="BT15" i="4"/>
  <c r="BT13" i="4"/>
  <c r="BT29" i="4"/>
  <c r="K28" i="1"/>
  <c r="M28" i="1" s="1"/>
  <c r="N28" i="1" s="1"/>
  <c r="BT8" i="4"/>
  <c r="K7" i="1"/>
  <c r="M7" i="1" s="1"/>
  <c r="N7" i="1" s="1"/>
  <c r="K22" i="1"/>
  <c r="M22" i="1" s="1"/>
  <c r="BT23" i="4"/>
  <c r="K19" i="1"/>
  <c r="M19" i="1" s="1"/>
  <c r="N19" i="1" s="1"/>
  <c r="BT20" i="4"/>
  <c r="BT48" i="4"/>
  <c r="K47" i="1"/>
  <c r="M47" i="1" s="1"/>
  <c r="N47" i="1" s="1"/>
  <c r="K23" i="1"/>
  <c r="M23" i="1" s="1"/>
  <c r="BT24" i="4"/>
  <c r="K20" i="1"/>
  <c r="M20" i="1" s="1"/>
  <c r="N20" i="1" s="1"/>
  <c r="BT21" i="4"/>
  <c r="BT7" i="4"/>
  <c r="K6" i="1"/>
  <c r="M6" i="1" s="1"/>
  <c r="N6" i="1" s="1"/>
  <c r="BT46" i="4"/>
  <c r="K45" i="1"/>
  <c r="M45" i="1" s="1"/>
  <c r="N45" i="1" s="1"/>
  <c r="K39" i="1"/>
  <c r="M39" i="1" s="1"/>
  <c r="N39" i="1" s="1"/>
  <c r="BT40" i="4"/>
  <c r="D37" i="1"/>
  <c r="AF38" i="4" s="1"/>
  <c r="BB38" i="4" s="1"/>
  <c r="K16" i="1"/>
  <c r="M16" i="1" s="1"/>
  <c r="N16" i="1" s="1"/>
  <c r="BT17" i="4"/>
  <c r="BT26" i="4"/>
  <c r="K25" i="1"/>
  <c r="M25" i="1" s="1"/>
  <c r="N25" i="1" s="1"/>
  <c r="E31" i="1"/>
  <c r="AO32" i="4" s="1"/>
  <c r="BJ32" i="4" s="1"/>
  <c r="E26" i="1"/>
  <c r="AO27" i="4" s="1"/>
  <c r="BJ27" i="4" s="1"/>
  <c r="AH51" i="4"/>
  <c r="BD51" i="4" s="1"/>
  <c r="C21" i="1"/>
  <c r="W22" i="4" s="1"/>
  <c r="AU22" i="4" s="1"/>
  <c r="D34" i="1"/>
  <c r="X35" i="4" s="1"/>
  <c r="AU35" i="4" s="1"/>
  <c r="C3" i="1"/>
  <c r="AE4" i="4" s="1"/>
  <c r="BB4" i="4" s="1"/>
  <c r="E28" i="1"/>
  <c r="AO29" i="4" s="1"/>
  <c r="BJ29" i="4" s="1"/>
  <c r="D33" i="1"/>
  <c r="X34" i="4" s="1"/>
  <c r="AU34" i="4" s="1"/>
  <c r="AH18" i="4"/>
  <c r="BD18" i="4" s="1"/>
  <c r="AP18" i="4"/>
  <c r="BK18" i="4" s="1"/>
  <c r="AH12" i="4"/>
  <c r="BD12" i="4" s="1"/>
  <c r="AP12" i="4"/>
  <c r="BK12" i="4" s="1"/>
  <c r="AE11" i="4"/>
  <c r="BB11" i="4" s="1"/>
  <c r="AM11" i="4"/>
  <c r="BI11" i="4" s="1"/>
  <c r="Z7" i="4"/>
  <c r="AW7" i="4" s="1"/>
  <c r="E7" i="4"/>
  <c r="P7" i="4" s="1"/>
  <c r="AE12" i="4"/>
  <c r="BB12" i="4" s="1"/>
  <c r="AM12" i="4"/>
  <c r="BI12" i="4" s="1"/>
  <c r="AH8" i="4"/>
  <c r="BD8" i="4" s="1"/>
  <c r="E8" i="4"/>
  <c r="P8" i="4" s="1"/>
  <c r="AH13" i="4"/>
  <c r="BD13" i="4" s="1"/>
  <c r="AP13" i="4"/>
  <c r="BK13" i="4" s="1"/>
  <c r="AP11" i="4"/>
  <c r="BK11" i="4" s="1"/>
  <c r="AF37" i="4"/>
  <c r="BB37" i="4" s="1"/>
  <c r="AN37" i="4"/>
  <c r="BI37" i="4" s="1"/>
  <c r="E42" i="1"/>
  <c r="E47" i="1"/>
  <c r="Y48" i="4" s="1"/>
  <c r="AV48" i="4" s="1"/>
  <c r="C22" i="1"/>
  <c r="W23" i="4" s="1"/>
  <c r="AU23" i="4" s="1"/>
  <c r="C7" i="1"/>
  <c r="AE8" i="4" s="1"/>
  <c r="BB8" i="4" s="1"/>
  <c r="D27" i="1"/>
  <c r="C28" i="4" s="1"/>
  <c r="N28" i="4" s="1"/>
  <c r="C9" i="1"/>
  <c r="C18" i="1"/>
  <c r="AP23" i="4"/>
  <c r="BK23" i="4" s="1"/>
  <c r="AH43" i="4"/>
  <c r="BD43" i="4" s="1"/>
  <c r="AP43" i="4"/>
  <c r="BK43" i="4" s="1"/>
  <c r="AP25" i="4"/>
  <c r="BK25" i="4" s="1"/>
  <c r="N10" i="1"/>
  <c r="AE9" i="4"/>
  <c r="BB9" i="4" s="1"/>
  <c r="AM9" i="4"/>
  <c r="BI9" i="4" s="1"/>
  <c r="AH45" i="4"/>
  <c r="BD45" i="4" s="1"/>
  <c r="AP45" i="4"/>
  <c r="BK45" i="4" s="1"/>
  <c r="AH48" i="4"/>
  <c r="BD48" i="4" s="1"/>
  <c r="AP48" i="4"/>
  <c r="BK48" i="4" s="1"/>
  <c r="AP34" i="4"/>
  <c r="BK34" i="4" s="1"/>
  <c r="AH40" i="4"/>
  <c r="BD40" i="4" s="1"/>
  <c r="AP40" i="4"/>
  <c r="BK40" i="4" s="1"/>
  <c r="AH44" i="4"/>
  <c r="BD44" i="4" s="1"/>
  <c r="AP44" i="4"/>
  <c r="BK44" i="4" s="1"/>
  <c r="AP32" i="4"/>
  <c r="BK32" i="4" s="1"/>
  <c r="AH46" i="4"/>
  <c r="BD46" i="4" s="1"/>
  <c r="AP46" i="4"/>
  <c r="BK46" i="4" s="1"/>
  <c r="AE6" i="4"/>
  <c r="BB6" i="4" s="1"/>
  <c r="BI24" i="4"/>
  <c r="BI31" i="4"/>
  <c r="BI34" i="4"/>
  <c r="BI29" i="4"/>
  <c r="BI32" i="4"/>
  <c r="BI30" i="4"/>
  <c r="BK4" i="4"/>
  <c r="E44" i="1"/>
  <c r="AO45" i="4" s="1"/>
  <c r="BJ45" i="4" s="1"/>
  <c r="BS4" i="4"/>
  <c r="C12" i="1"/>
  <c r="D29" i="1"/>
  <c r="C30" i="4" s="1"/>
  <c r="N30" i="4" s="1"/>
  <c r="D32" i="1"/>
  <c r="C14" i="1"/>
  <c r="D41" i="1"/>
  <c r="D49" i="1"/>
  <c r="G3" i="1"/>
  <c r="H3" i="1" s="1"/>
  <c r="I3" i="1" s="1"/>
  <c r="L4" i="4" s="1"/>
  <c r="N12" i="1"/>
  <c r="N18" i="1"/>
  <c r="N48" i="1"/>
  <c r="N46" i="1"/>
  <c r="N14" i="1"/>
  <c r="E12" i="1"/>
  <c r="AO4" i="4"/>
  <c r="E40" i="1"/>
  <c r="AG41" i="4" s="1"/>
  <c r="BC41" i="4" s="1"/>
  <c r="E50" i="1"/>
  <c r="G50" i="1" s="1"/>
  <c r="D51" i="4" s="1"/>
  <c r="O51" i="4" s="1"/>
  <c r="E21" i="1"/>
  <c r="E11" i="1"/>
  <c r="E30" i="1"/>
  <c r="E46" i="1"/>
  <c r="Y47" i="4" s="1"/>
  <c r="AV47" i="4" s="1"/>
  <c r="E10" i="1"/>
  <c r="AG11" i="4" s="1"/>
  <c r="BC11" i="4" s="1"/>
  <c r="E22" i="1"/>
  <c r="BI25" i="4"/>
  <c r="AU36" i="4"/>
  <c r="N36" i="4"/>
  <c r="Z6" i="4"/>
  <c r="AW6" i="4" s="1"/>
  <c r="E6" i="4"/>
  <c r="P6" i="4" s="1"/>
  <c r="BR11" i="4"/>
  <c r="E9" i="1"/>
  <c r="AO10" i="4" s="1"/>
  <c r="BJ10" i="4" s="1"/>
  <c r="BR21" i="4"/>
  <c r="C20" i="1"/>
  <c r="E25" i="1"/>
  <c r="AO26" i="4" s="1"/>
  <c r="BJ26" i="4" s="1"/>
  <c r="D42" i="1"/>
  <c r="BR43" i="4"/>
  <c r="D48" i="1"/>
  <c r="BR49" i="4"/>
  <c r="E15" i="1"/>
  <c r="C19" i="1"/>
  <c r="BR9" i="4"/>
  <c r="D30" i="1"/>
  <c r="C25" i="1"/>
  <c r="BR26" i="4"/>
  <c r="C16" i="1"/>
  <c r="E16" i="1"/>
  <c r="AO17" i="4" s="1"/>
  <c r="BJ17" i="4" s="1"/>
  <c r="BS17" i="4"/>
  <c r="J1" i="1"/>
  <c r="E27" i="1"/>
  <c r="AO28" i="4" s="1"/>
  <c r="BJ28" i="4" s="1"/>
  <c r="E49" i="1"/>
  <c r="BS50" i="4"/>
  <c r="E35" i="1"/>
  <c r="D39" i="1"/>
  <c r="E17" i="1"/>
  <c r="AO18" i="4" s="1"/>
  <c r="BJ18" i="4" s="1"/>
  <c r="BR51" i="4"/>
  <c r="D50" i="1"/>
  <c r="E41" i="1"/>
  <c r="Y42" i="4" s="1"/>
  <c r="AV42" i="4" s="1"/>
  <c r="BR48" i="4"/>
  <c r="D47" i="1"/>
  <c r="D45" i="1"/>
  <c r="E20" i="1"/>
  <c r="AO21" i="4" s="1"/>
  <c r="BJ21" i="4" s="1"/>
  <c r="BR14" i="4"/>
  <c r="C13" i="1"/>
  <c r="C23" i="1"/>
  <c r="E29" i="1"/>
  <c r="D44" i="1"/>
  <c r="E18" i="1"/>
  <c r="AO19" i="4" s="1"/>
  <c r="BJ19" i="4" s="1"/>
  <c r="BR44" i="4"/>
  <c r="D43" i="1"/>
  <c r="E7" i="1"/>
  <c r="AO8" i="4" s="1"/>
  <c r="BJ8" i="4" s="1"/>
  <c r="BS8" i="4"/>
  <c r="E48" i="1"/>
  <c r="E23" i="1"/>
  <c r="D38" i="1"/>
  <c r="BR18" i="4"/>
  <c r="C17" i="1"/>
  <c r="C15" i="1"/>
  <c r="D28" i="1"/>
  <c r="C29" i="4" s="1"/>
  <c r="E39" i="1"/>
  <c r="AO40" i="4" s="1"/>
  <c r="BJ40" i="4" s="1"/>
  <c r="E24" i="1"/>
  <c r="AO25" i="4" s="1"/>
  <c r="BJ25" i="4" s="1"/>
  <c r="D40" i="1"/>
  <c r="D35" i="1"/>
  <c r="E14" i="1"/>
  <c r="AO15" i="4" s="1"/>
  <c r="BJ15" i="4" s="1"/>
  <c r="Z4" i="4"/>
  <c r="BR47" i="4"/>
  <c r="D46" i="1"/>
  <c r="E4" i="4"/>
  <c r="AH38" i="4"/>
  <c r="BD38" i="4" s="1"/>
  <c r="E5" i="4"/>
  <c r="P5" i="4" s="1"/>
  <c r="Z5" i="4"/>
  <c r="AW5" i="4" s="1"/>
  <c r="E45" i="1"/>
  <c r="Y46" i="4" s="1"/>
  <c r="AV46" i="4" s="1"/>
  <c r="BS46" i="4"/>
  <c r="E33" i="1"/>
  <c r="C6" i="1"/>
  <c r="E36" i="1"/>
  <c r="AO37" i="4" s="1"/>
  <c r="BJ37" i="4" s="1"/>
  <c r="C4" i="1"/>
  <c r="E37" i="1"/>
  <c r="AO38" i="4" s="1"/>
  <c r="BJ38" i="4" s="1"/>
  <c r="E38" i="1"/>
  <c r="AO39" i="4" s="1"/>
  <c r="BJ39" i="4" s="1"/>
  <c r="N11" i="1"/>
  <c r="N41" i="1"/>
  <c r="E6" i="1"/>
  <c r="AO7" i="4" s="1"/>
  <c r="BJ7" i="4" s="1"/>
  <c r="BR32" i="4"/>
  <c r="D31" i="1"/>
  <c r="E4" i="1"/>
  <c r="AO5" i="4" s="1"/>
  <c r="BJ5" i="4" s="1"/>
  <c r="E34" i="1"/>
  <c r="AO35" i="4" s="1"/>
  <c r="BJ35" i="4" s="1"/>
  <c r="BS35" i="4"/>
  <c r="AH39" i="4"/>
  <c r="BD39" i="4" s="1"/>
  <c r="AH16" i="4"/>
  <c r="BD16" i="4" s="1"/>
  <c r="BU34" i="4"/>
  <c r="P33" i="1"/>
  <c r="AH15" i="4"/>
  <c r="BD15" i="4" s="1"/>
  <c r="AH14" i="4"/>
  <c r="BD14" i="4" s="1"/>
  <c r="P16" i="1"/>
  <c r="BU17" i="4"/>
  <c r="K27" i="1"/>
  <c r="M27" i="1" s="1"/>
  <c r="N27" i="1" s="1"/>
  <c r="BT28" i="4"/>
  <c r="AH30" i="4"/>
  <c r="BD30" i="4" s="1"/>
  <c r="P3" i="1"/>
  <c r="BU4" i="4"/>
  <c r="AH49" i="4"/>
  <c r="BD49" i="4" s="1"/>
  <c r="P7" i="1"/>
  <c r="BU8" i="4"/>
  <c r="N13" i="1"/>
  <c r="N32" i="1"/>
  <c r="AH19" i="4"/>
  <c r="BD19" i="4" s="1"/>
  <c r="P17" i="1"/>
  <c r="BU18" i="4"/>
  <c r="P19" i="1"/>
  <c r="BU20" i="4"/>
  <c r="N8" i="1"/>
  <c r="K30" i="1"/>
  <c r="M30" i="1" s="1"/>
  <c r="N30" i="1" s="1"/>
  <c r="BT31" i="4"/>
  <c r="N36" i="1"/>
  <c r="AH42" i="4"/>
  <c r="BD42" i="4" s="1"/>
  <c r="B27" i="4"/>
  <c r="N27" i="4" s="1"/>
  <c r="W27" i="4"/>
  <c r="AU27" i="4" s="1"/>
  <c r="AH26" i="4"/>
  <c r="BD26" i="4" s="1"/>
  <c r="AH10" i="4"/>
  <c r="BD10" i="4" s="1"/>
  <c r="K37" i="1"/>
  <c r="BT38" i="4"/>
  <c r="BS20" i="4"/>
  <c r="E19" i="1"/>
  <c r="AO20" i="4" s="1"/>
  <c r="BJ20" i="4" s="1"/>
  <c r="AH27" i="4"/>
  <c r="BD27" i="4" s="1"/>
  <c r="K35" i="1"/>
  <c r="M35" i="1" s="1"/>
  <c r="N35" i="1" s="1"/>
  <c r="BT36" i="4"/>
  <c r="E32" i="1"/>
  <c r="AO33" i="4" s="1"/>
  <c r="BJ33" i="4" s="1"/>
  <c r="BS33" i="4"/>
  <c r="N44" i="1"/>
  <c r="BT25" i="4"/>
  <c r="K24" i="1"/>
  <c r="M24" i="1" s="1"/>
  <c r="N24" i="1" s="1"/>
  <c r="T1" i="1"/>
  <c r="T46" i="1" s="1"/>
  <c r="AH28" i="4"/>
  <c r="BD28" i="4" s="1"/>
  <c r="BT43" i="4"/>
  <c r="K42" i="1"/>
  <c r="M42" i="1" s="1"/>
  <c r="N42" i="1" s="1"/>
  <c r="N22" i="1"/>
  <c r="P40" i="1"/>
  <c r="BU41" i="4"/>
  <c r="P23" i="1"/>
  <c r="BU24" i="4"/>
  <c r="BT44" i="4"/>
  <c r="K43" i="1"/>
  <c r="M43" i="1" s="1"/>
  <c r="N43" i="1" s="1"/>
  <c r="P5" i="1"/>
  <c r="BU6" i="4"/>
  <c r="K49" i="1"/>
  <c r="M49" i="1" s="1"/>
  <c r="N49" i="1" s="1"/>
  <c r="BT50" i="4"/>
  <c r="AH31" i="4"/>
  <c r="BD31" i="4" s="1"/>
  <c r="P42" i="1"/>
  <c r="BU43" i="4"/>
  <c r="P43" i="1"/>
  <c r="BU44" i="4"/>
  <c r="BT5" i="4"/>
  <c r="K4" i="1"/>
  <c r="M4" i="1" s="1"/>
  <c r="N4" i="1" s="1"/>
  <c r="P20" i="1"/>
  <c r="BU21" i="4"/>
  <c r="P15" i="1"/>
  <c r="BU16" i="4"/>
  <c r="P49" i="1"/>
  <c r="BU50" i="4"/>
  <c r="P14" i="1"/>
  <c r="BU15" i="4"/>
  <c r="AH50" i="4"/>
  <c r="BD50" i="4" s="1"/>
  <c r="AH47" i="4"/>
  <c r="BD47" i="4" s="1"/>
  <c r="P38" i="1"/>
  <c r="BU39" i="4"/>
  <c r="P36" i="1"/>
  <c r="BU37" i="4"/>
  <c r="P50" i="1"/>
  <c r="BU51" i="4"/>
  <c r="N50" i="1"/>
  <c r="AH29" i="4"/>
  <c r="BD29" i="4" s="1"/>
  <c r="BU12" i="4"/>
  <c r="P11" i="1"/>
  <c r="AH35" i="4"/>
  <c r="BD35" i="4" s="1"/>
  <c r="K38" i="1"/>
  <c r="M38" i="1" s="1"/>
  <c r="N38" i="1" s="1"/>
  <c r="BT39" i="4"/>
  <c r="AH36" i="4"/>
  <c r="BD36" i="4" s="1"/>
  <c r="N29" i="1"/>
  <c r="AH33" i="4"/>
  <c r="BD33" i="4" s="1"/>
  <c r="AG9" i="4"/>
  <c r="BC9" i="4" s="1"/>
  <c r="AH22" i="4"/>
  <c r="BD22" i="4" s="1"/>
  <c r="AH20" i="4"/>
  <c r="BD20" i="4" s="1"/>
  <c r="AH37" i="4"/>
  <c r="BD37" i="4" s="1"/>
  <c r="P24" i="1"/>
  <c r="BU25" i="4"/>
  <c r="AH21" i="4"/>
  <c r="BD21" i="4" s="1"/>
  <c r="P34" i="1"/>
  <c r="BU35" i="4"/>
  <c r="AH41" i="4"/>
  <c r="BD41" i="4" s="1"/>
  <c r="AH24" i="4"/>
  <c r="BD24" i="4" s="1"/>
  <c r="AH17" i="4"/>
  <c r="BD17" i="4" s="1"/>
  <c r="P35" i="1"/>
  <c r="BU36" i="4"/>
  <c r="P47" i="1"/>
  <c r="BU48" i="4"/>
  <c r="BC4" i="4"/>
  <c r="BU5" i="4"/>
  <c r="P4" i="1"/>
  <c r="P39" i="1"/>
  <c r="BU40" i="4"/>
  <c r="P18" i="1"/>
  <c r="BU19" i="4"/>
  <c r="AT4" i="4"/>
  <c r="BO4" i="4" s="1"/>
  <c r="K4" i="4"/>
  <c r="V4" i="4" s="1"/>
  <c r="AD4" i="4"/>
  <c r="BA4" i="4" s="1"/>
  <c r="AL4" i="4"/>
  <c r="BH4" i="4" s="1"/>
  <c r="P44" i="1"/>
  <c r="BU45" i="4"/>
  <c r="P41" i="1"/>
  <c r="BU42" i="4"/>
  <c r="BU11" i="4"/>
  <c r="P10" i="1"/>
  <c r="P37" i="1"/>
  <c r="BU38" i="4"/>
  <c r="P8" i="1"/>
  <c r="BU9" i="4"/>
  <c r="BS6" i="4"/>
  <c r="E5" i="1"/>
  <c r="AO6" i="4" s="1"/>
  <c r="BJ6" i="4" s="1"/>
  <c r="AB4" i="4"/>
  <c r="AY4" i="4" s="1"/>
  <c r="I4" i="4"/>
  <c r="T4" i="4" s="1"/>
  <c r="N26" i="1"/>
  <c r="AR4" i="4"/>
  <c r="BM4" i="4" s="1"/>
  <c r="N23" i="1"/>
  <c r="N3" i="1"/>
  <c r="AJ4" i="4"/>
  <c r="BF4" i="4" s="1"/>
  <c r="N9" i="1"/>
  <c r="O1" i="1"/>
  <c r="O18" i="1" s="1"/>
  <c r="P26" i="1"/>
  <c r="BU27" i="4"/>
  <c r="E43" i="1"/>
  <c r="BS44" i="4"/>
  <c r="E13" i="1"/>
  <c r="AO14" i="4" s="1"/>
  <c r="BJ14" i="4" s="1"/>
  <c r="BU46" i="4"/>
  <c r="P45" i="1"/>
  <c r="P12" i="1"/>
  <c r="BU13" i="4"/>
  <c r="BU26" i="4"/>
  <c r="P25" i="1"/>
  <c r="AE25" i="4" l="1"/>
  <c r="BB25" i="4" s="1"/>
  <c r="AN35" i="4"/>
  <c r="BI35" i="4" s="1"/>
  <c r="G8" i="1"/>
  <c r="H8" i="1" s="1"/>
  <c r="I8" i="1" s="1"/>
  <c r="F9" i="4" s="1"/>
  <c r="Q9" i="4" s="1"/>
  <c r="W25" i="4"/>
  <c r="AU25" i="4" s="1"/>
  <c r="AG48" i="4"/>
  <c r="BC48" i="4" s="1"/>
  <c r="AM8" i="4"/>
  <c r="BI8" i="4" s="1"/>
  <c r="AN38" i="4"/>
  <c r="BI38" i="4" s="1"/>
  <c r="W21" i="4"/>
  <c r="AU21" i="4" s="1"/>
  <c r="AM21" i="4"/>
  <c r="BI21" i="4" s="1"/>
  <c r="Y44" i="4"/>
  <c r="AV44" i="4" s="1"/>
  <c r="AO44" i="4"/>
  <c r="BJ44" i="4" s="1"/>
  <c r="W20" i="4"/>
  <c r="AU20" i="4" s="1"/>
  <c r="AM20" i="4"/>
  <c r="BI20" i="4" s="1"/>
  <c r="AM4" i="4"/>
  <c r="BI4" i="4" s="1"/>
  <c r="B19" i="4"/>
  <c r="N19" i="4" s="1"/>
  <c r="W19" i="4"/>
  <c r="AU19" i="4" s="1"/>
  <c r="G42" i="1"/>
  <c r="H42" i="1" s="1"/>
  <c r="I42" i="1" s="1"/>
  <c r="F43" i="4" s="1"/>
  <c r="Q43" i="4" s="1"/>
  <c r="Y43" i="4"/>
  <c r="AV43" i="4" s="1"/>
  <c r="AE21" i="4"/>
  <c r="BB21" i="4" s="1"/>
  <c r="B21" i="4"/>
  <c r="N21" i="4" s="1"/>
  <c r="AF34" i="4"/>
  <c r="BB34" i="4" s="1"/>
  <c r="C34" i="4"/>
  <c r="N34" i="4" s="1"/>
  <c r="AF35" i="4"/>
  <c r="BB35" i="4" s="1"/>
  <c r="C35" i="4"/>
  <c r="N35" i="4" s="1"/>
  <c r="AE22" i="4"/>
  <c r="BB22" i="4" s="1"/>
  <c r="B22" i="4"/>
  <c r="N22" i="4" s="1"/>
  <c r="AE20" i="4"/>
  <c r="BB20" i="4" s="1"/>
  <c r="B20" i="4"/>
  <c r="N20" i="4" s="1"/>
  <c r="AG32" i="4"/>
  <c r="BC32" i="4" s="1"/>
  <c r="G31" i="1"/>
  <c r="H31" i="1" s="1"/>
  <c r="I31" i="1" s="1"/>
  <c r="L32" i="4" s="1"/>
  <c r="AF33" i="4"/>
  <c r="BB33" i="4" s="1"/>
  <c r="X33" i="4"/>
  <c r="AU33" i="4" s="1"/>
  <c r="C33" i="4"/>
  <c r="N33" i="4" s="1"/>
  <c r="G26" i="1"/>
  <c r="H26" i="1" s="1"/>
  <c r="I26" i="1" s="1"/>
  <c r="AG27" i="4"/>
  <c r="BC27" i="4" s="1"/>
  <c r="AG29" i="4"/>
  <c r="BC29" i="4" s="1"/>
  <c r="G28" i="1"/>
  <c r="H28" i="1" s="1"/>
  <c r="I28" i="1" s="1"/>
  <c r="F29" i="4" s="1"/>
  <c r="Q29" i="4" s="1"/>
  <c r="AG45" i="4"/>
  <c r="BC45" i="4" s="1"/>
  <c r="Y45" i="4"/>
  <c r="AV45" i="4" s="1"/>
  <c r="T4" i="1"/>
  <c r="AE23" i="4"/>
  <c r="BB23" i="4" s="1"/>
  <c r="G47" i="1"/>
  <c r="D48" i="4" s="1"/>
  <c r="O48" i="4" s="1"/>
  <c r="X28" i="4"/>
  <c r="AU28" i="4" s="1"/>
  <c r="G40" i="1"/>
  <c r="H40" i="1" s="1"/>
  <c r="I40" i="1" s="1"/>
  <c r="F41" i="4" s="1"/>
  <c r="Q41" i="4" s="1"/>
  <c r="AO41" i="4"/>
  <c r="BJ41" i="4" s="1"/>
  <c r="AF44" i="4"/>
  <c r="BB44" i="4" s="1"/>
  <c r="AN44" i="4"/>
  <c r="BI44" i="4" s="1"/>
  <c r="AF40" i="4"/>
  <c r="BB40" i="4" s="1"/>
  <c r="AN40" i="4"/>
  <c r="BI40" i="4" s="1"/>
  <c r="AE19" i="4"/>
  <c r="BB19" i="4" s="1"/>
  <c r="AM19" i="4"/>
  <c r="BI19" i="4" s="1"/>
  <c r="AG36" i="4"/>
  <c r="BC36" i="4" s="1"/>
  <c r="AO36" i="4"/>
  <c r="BJ36" i="4" s="1"/>
  <c r="AE10" i="4"/>
  <c r="BB10" i="4" s="1"/>
  <c r="AM10" i="4"/>
  <c r="BI10" i="4" s="1"/>
  <c r="AF36" i="4"/>
  <c r="BB36" i="4" s="1"/>
  <c r="AN36" i="4"/>
  <c r="BI36" i="4" s="1"/>
  <c r="AF43" i="4"/>
  <c r="BB43" i="4" s="1"/>
  <c r="AN43" i="4"/>
  <c r="BI43" i="4" s="1"/>
  <c r="AF42" i="4"/>
  <c r="BB42" i="4" s="1"/>
  <c r="AN42" i="4"/>
  <c r="BI42" i="4" s="1"/>
  <c r="AF41" i="4"/>
  <c r="BB41" i="4" s="1"/>
  <c r="AN41" i="4"/>
  <c r="BI41" i="4" s="1"/>
  <c r="AE15" i="4"/>
  <c r="BB15" i="4" s="1"/>
  <c r="AM15" i="4"/>
  <c r="BI15" i="4" s="1"/>
  <c r="G41" i="1"/>
  <c r="H41" i="1" s="1"/>
  <c r="I41" i="1" s="1"/>
  <c r="F42" i="4" s="1"/>
  <c r="Q42" i="4" s="1"/>
  <c r="AO42" i="4"/>
  <c r="BJ42" i="4" s="1"/>
  <c r="AE14" i="4"/>
  <c r="BB14" i="4" s="1"/>
  <c r="AM14" i="4"/>
  <c r="BI14" i="4" s="1"/>
  <c r="AE13" i="4"/>
  <c r="BB13" i="4" s="1"/>
  <c r="AM13" i="4"/>
  <c r="BI13" i="4" s="1"/>
  <c r="AG43" i="4"/>
  <c r="BC43" i="4" s="1"/>
  <c r="AO43" i="4"/>
  <c r="BJ43" i="4" s="1"/>
  <c r="AE16" i="4"/>
  <c r="BB16" i="4" s="1"/>
  <c r="AM16" i="4"/>
  <c r="BI16" i="4" s="1"/>
  <c r="AE17" i="4"/>
  <c r="BB17" i="4" s="1"/>
  <c r="AM17" i="4"/>
  <c r="BI17" i="4" s="1"/>
  <c r="AE18" i="4"/>
  <c r="BB18" i="4" s="1"/>
  <c r="AM18" i="4"/>
  <c r="BI18" i="4" s="1"/>
  <c r="B23" i="4"/>
  <c r="N23" i="4" s="1"/>
  <c r="AF39" i="4"/>
  <c r="BB39" i="4" s="1"/>
  <c r="AN39" i="4"/>
  <c r="BI39" i="4" s="1"/>
  <c r="T49" i="1"/>
  <c r="T33" i="1"/>
  <c r="T22" i="1"/>
  <c r="T10" i="1"/>
  <c r="T39" i="1"/>
  <c r="T48" i="1"/>
  <c r="T5" i="1"/>
  <c r="T8" i="1"/>
  <c r="G44" i="1"/>
  <c r="X30" i="4"/>
  <c r="AU30" i="4" s="1"/>
  <c r="AF51" i="4"/>
  <c r="BB51" i="4" s="1"/>
  <c r="AN51" i="4"/>
  <c r="BI51" i="4" s="1"/>
  <c r="AF47" i="4"/>
  <c r="BB47" i="4" s="1"/>
  <c r="AN47" i="4"/>
  <c r="BI47" i="4" s="1"/>
  <c r="G22" i="1"/>
  <c r="H22" i="1" s="1"/>
  <c r="I22" i="1" s="1"/>
  <c r="F23" i="4" s="1"/>
  <c r="Q23" i="4" s="1"/>
  <c r="AO23" i="4"/>
  <c r="BJ23" i="4" s="1"/>
  <c r="AG16" i="4"/>
  <c r="BC16" i="4" s="1"/>
  <c r="AO16" i="4"/>
  <c r="BJ16" i="4" s="1"/>
  <c r="G10" i="1"/>
  <c r="H10" i="1" s="1"/>
  <c r="I10" i="1" s="1"/>
  <c r="AO11" i="4"/>
  <c r="BJ11" i="4" s="1"/>
  <c r="AF31" i="4"/>
  <c r="BB31" i="4" s="1"/>
  <c r="X31" i="4"/>
  <c r="AU31" i="4" s="1"/>
  <c r="C31" i="4"/>
  <c r="N31" i="4" s="1"/>
  <c r="O12" i="1"/>
  <c r="AF49" i="4"/>
  <c r="BB49" i="4" s="1"/>
  <c r="AN49" i="4"/>
  <c r="BI49" i="4" s="1"/>
  <c r="G30" i="1"/>
  <c r="H30" i="1" s="1"/>
  <c r="I30" i="1" s="1"/>
  <c r="F31" i="4" s="1"/>
  <c r="Q31" i="4" s="1"/>
  <c r="AO31" i="4"/>
  <c r="BJ31" i="4" s="1"/>
  <c r="AG12" i="4"/>
  <c r="BC12" i="4" s="1"/>
  <c r="AO12" i="4"/>
  <c r="BJ12" i="4" s="1"/>
  <c r="G23" i="1"/>
  <c r="H23" i="1" s="1"/>
  <c r="I23" i="1" s="1"/>
  <c r="L24" i="4" s="1"/>
  <c r="AO24" i="4"/>
  <c r="BJ24" i="4" s="1"/>
  <c r="AE5" i="4"/>
  <c r="BB5" i="4" s="1"/>
  <c r="AM5" i="4"/>
  <c r="BI5" i="4" s="1"/>
  <c r="T13" i="1"/>
  <c r="AF45" i="4"/>
  <c r="BB45" i="4" s="1"/>
  <c r="AN45" i="4"/>
  <c r="AG22" i="4"/>
  <c r="BC22" i="4" s="1"/>
  <c r="AO22" i="4"/>
  <c r="BJ22" i="4" s="1"/>
  <c r="AE7" i="4"/>
  <c r="BB7" i="4" s="1"/>
  <c r="AM7" i="4"/>
  <c r="BI7" i="4" s="1"/>
  <c r="G29" i="1"/>
  <c r="H29" i="1" s="1"/>
  <c r="I29" i="1" s="1"/>
  <c r="L30" i="4" s="1"/>
  <c r="AO30" i="4"/>
  <c r="BJ30" i="4" s="1"/>
  <c r="AE24" i="4"/>
  <c r="BB24" i="4" s="1"/>
  <c r="B24" i="4"/>
  <c r="N24" i="4" s="1"/>
  <c r="W24" i="4"/>
  <c r="AU24" i="4" s="1"/>
  <c r="G12" i="11"/>
  <c r="G13" i="11"/>
  <c r="G33" i="1"/>
  <c r="H33" i="1" s="1"/>
  <c r="I33" i="1" s="1"/>
  <c r="L34" i="4" s="1"/>
  <c r="AO34" i="4"/>
  <c r="BJ34" i="4" s="1"/>
  <c r="O14" i="1"/>
  <c r="AG13" i="4"/>
  <c r="BC13" i="4" s="1"/>
  <c r="AO13" i="4"/>
  <c r="BJ13" i="4" s="1"/>
  <c r="AF50" i="4"/>
  <c r="BB50" i="4" s="1"/>
  <c r="AN50" i="4"/>
  <c r="BI50" i="4" s="1"/>
  <c r="T23" i="1"/>
  <c r="AF46" i="4"/>
  <c r="BB46" i="4" s="1"/>
  <c r="AN46" i="4"/>
  <c r="BI46" i="4" s="1"/>
  <c r="T47" i="1"/>
  <c r="AF48" i="4"/>
  <c r="BB48" i="4" s="1"/>
  <c r="AN48" i="4"/>
  <c r="BI48" i="4" s="1"/>
  <c r="T35" i="1"/>
  <c r="AF32" i="4"/>
  <c r="BB32" i="4" s="1"/>
  <c r="C32" i="4"/>
  <c r="N32" i="4" s="1"/>
  <c r="X32" i="4"/>
  <c r="AU32" i="4" s="1"/>
  <c r="BJ4" i="4"/>
  <c r="X29" i="4"/>
  <c r="AU29" i="4" s="1"/>
  <c r="G11" i="1"/>
  <c r="H11" i="1" s="1"/>
  <c r="I11" i="1" s="1"/>
  <c r="F12" i="4" s="1"/>
  <c r="Q12" i="4" s="1"/>
  <c r="Y51" i="4"/>
  <c r="AV51" i="4" s="1"/>
  <c r="G12" i="1"/>
  <c r="H12" i="1" s="1"/>
  <c r="I12" i="1" s="1"/>
  <c r="F13" i="4" s="1"/>
  <c r="Q13" i="4" s="1"/>
  <c r="AG24" i="4"/>
  <c r="BC24" i="4" s="1"/>
  <c r="R41" i="1"/>
  <c r="S41" i="1" s="1"/>
  <c r="AG31" i="4"/>
  <c r="BC31" i="4" s="1"/>
  <c r="T30" i="1"/>
  <c r="O25" i="1"/>
  <c r="O31" i="1"/>
  <c r="O3" i="1"/>
  <c r="O48" i="1"/>
  <c r="O5" i="1"/>
  <c r="O8" i="1"/>
  <c r="O33" i="1"/>
  <c r="O28" i="1"/>
  <c r="O22" i="1"/>
  <c r="O15" i="1"/>
  <c r="O7" i="1"/>
  <c r="O44" i="1"/>
  <c r="O45" i="1"/>
  <c r="T50" i="1"/>
  <c r="J45" i="1"/>
  <c r="G46" i="4" s="1"/>
  <c r="R46" i="4" s="1"/>
  <c r="O6" i="1"/>
  <c r="T21" i="1"/>
  <c r="O20" i="1"/>
  <c r="O40" i="1"/>
  <c r="O11" i="1"/>
  <c r="O46" i="1"/>
  <c r="O32" i="1"/>
  <c r="O41" i="1"/>
  <c r="O34" i="1"/>
  <c r="O39" i="1"/>
  <c r="O10" i="1"/>
  <c r="O13" i="1"/>
  <c r="J50" i="1"/>
  <c r="M51" i="4" s="1"/>
  <c r="J12" i="1"/>
  <c r="G13" i="4" s="1"/>
  <c r="R13" i="4" s="1"/>
  <c r="J39" i="1"/>
  <c r="G40" i="4" s="1"/>
  <c r="R40" i="4" s="1"/>
  <c r="G39" i="1"/>
  <c r="H39" i="1" s="1"/>
  <c r="I39" i="1" s="1"/>
  <c r="L40" i="4" s="1"/>
  <c r="G15" i="1"/>
  <c r="H15" i="1" s="1"/>
  <c r="I15" i="1" s="1"/>
  <c r="F16" i="4" s="1"/>
  <c r="Q16" i="4" s="1"/>
  <c r="G21" i="1"/>
  <c r="H21" i="1" s="1"/>
  <c r="I21" i="1" s="1"/>
  <c r="L22" i="4" s="1"/>
  <c r="J20" i="1"/>
  <c r="G21" i="4" s="1"/>
  <c r="R21" i="4" s="1"/>
  <c r="AG21" i="4"/>
  <c r="BC21" i="4" s="1"/>
  <c r="J28" i="1"/>
  <c r="G29" i="4" s="1"/>
  <c r="R29" i="4" s="1"/>
  <c r="G20" i="1"/>
  <c r="H20" i="1" s="1"/>
  <c r="I20" i="1" s="1"/>
  <c r="L21" i="4" s="1"/>
  <c r="J49" i="1"/>
  <c r="M50" i="4" s="1"/>
  <c r="J33" i="1"/>
  <c r="M34" i="4" s="1"/>
  <c r="J47" i="1"/>
  <c r="M48" i="4" s="1"/>
  <c r="J29" i="1"/>
  <c r="M30" i="4" s="1"/>
  <c r="J23" i="1"/>
  <c r="M24" i="4" s="1"/>
  <c r="J48" i="1"/>
  <c r="M49" i="4" s="1"/>
  <c r="Y49" i="4"/>
  <c r="AV49" i="4" s="1"/>
  <c r="G48" i="1"/>
  <c r="D49" i="4" s="1"/>
  <c r="O49" i="4" s="1"/>
  <c r="J10" i="1"/>
  <c r="G11" i="4" s="1"/>
  <c r="R11" i="4" s="1"/>
  <c r="AG23" i="4"/>
  <c r="BC23" i="4" s="1"/>
  <c r="AG30" i="4"/>
  <c r="BC30" i="4" s="1"/>
  <c r="J27" i="1"/>
  <c r="M28" i="4" s="1"/>
  <c r="AG47" i="4"/>
  <c r="BC47" i="4" s="1"/>
  <c r="G46" i="1"/>
  <c r="AG40" i="4"/>
  <c r="BC40" i="4" s="1"/>
  <c r="AG34" i="4"/>
  <c r="BC34" i="4" s="1"/>
  <c r="G35" i="1"/>
  <c r="H35" i="1" s="1"/>
  <c r="I35" i="1" s="1"/>
  <c r="F36" i="4" s="1"/>
  <c r="Q36" i="4" s="1"/>
  <c r="J25" i="1"/>
  <c r="G26" i="4" s="1"/>
  <c r="R26" i="4" s="1"/>
  <c r="F5" i="5"/>
  <c r="G5" i="11"/>
  <c r="AG15" i="4"/>
  <c r="BC15" i="4" s="1"/>
  <c r="G14" i="1"/>
  <c r="H14" i="1" s="1"/>
  <c r="I14" i="1" s="1"/>
  <c r="L15" i="4" s="1"/>
  <c r="AG25" i="4"/>
  <c r="BC25" i="4" s="1"/>
  <c r="G24" i="1"/>
  <c r="H24" i="1" s="1"/>
  <c r="I24" i="1" s="1"/>
  <c r="L25" i="4" s="1"/>
  <c r="J11" i="1"/>
  <c r="M12" i="4" s="1"/>
  <c r="J13" i="1"/>
  <c r="G14" i="4" s="1"/>
  <c r="R14" i="4" s="1"/>
  <c r="G16" i="1"/>
  <c r="H16" i="1" s="1"/>
  <c r="I16" i="1" s="1"/>
  <c r="F17" i="4" s="1"/>
  <c r="Q17" i="4" s="1"/>
  <c r="AG17" i="4"/>
  <c r="BC17" i="4" s="1"/>
  <c r="J30" i="1"/>
  <c r="G31" i="4" s="1"/>
  <c r="R31" i="4" s="1"/>
  <c r="J8" i="1"/>
  <c r="G9" i="4" s="1"/>
  <c r="R9" i="4" s="1"/>
  <c r="J37" i="1"/>
  <c r="G38" i="4" s="1"/>
  <c r="R38" i="4" s="1"/>
  <c r="AG42" i="4"/>
  <c r="BC42" i="4" s="1"/>
  <c r="J44" i="1"/>
  <c r="G45" i="4" s="1"/>
  <c r="R45" i="4" s="1"/>
  <c r="G7" i="1"/>
  <c r="H7" i="1" s="1"/>
  <c r="I7" i="1" s="1"/>
  <c r="F8" i="4" s="1"/>
  <c r="AG8" i="4"/>
  <c r="BC8" i="4" s="1"/>
  <c r="AG18" i="4"/>
  <c r="BC18" i="4" s="1"/>
  <c r="G17" i="1"/>
  <c r="H17" i="1" s="1"/>
  <c r="I17" i="1" s="1"/>
  <c r="F18" i="4" s="1"/>
  <c r="Q18" i="4" s="1"/>
  <c r="AG28" i="4"/>
  <c r="BC28" i="4" s="1"/>
  <c r="G27" i="1"/>
  <c r="H27" i="1" s="1"/>
  <c r="I27" i="1" s="1"/>
  <c r="L28" i="4" s="1"/>
  <c r="J31" i="1"/>
  <c r="G32" i="4" s="1"/>
  <c r="R32" i="4" s="1"/>
  <c r="AW4" i="4"/>
  <c r="J19" i="1"/>
  <c r="G20" i="4" s="1"/>
  <c r="R20" i="4" s="1"/>
  <c r="J36" i="1"/>
  <c r="M37" i="4" s="1"/>
  <c r="J22" i="1"/>
  <c r="G23" i="4" s="1"/>
  <c r="R23" i="4" s="1"/>
  <c r="J15" i="1"/>
  <c r="G16" i="4" s="1"/>
  <c r="R16" i="4" s="1"/>
  <c r="J17" i="1"/>
  <c r="M18" i="4" s="1"/>
  <c r="J16" i="1"/>
  <c r="M17" i="4" s="1"/>
  <c r="J3" i="1"/>
  <c r="M4" i="4" s="1"/>
  <c r="Y50" i="4"/>
  <c r="AV50" i="4" s="1"/>
  <c r="G49" i="1"/>
  <c r="P4" i="4"/>
  <c r="J38" i="1"/>
  <c r="G39" i="4" s="1"/>
  <c r="R39" i="4" s="1"/>
  <c r="J42" i="1"/>
  <c r="M43" i="4" s="1"/>
  <c r="J14" i="1"/>
  <c r="M15" i="4" s="1"/>
  <c r="J24" i="1"/>
  <c r="G25" i="4" s="1"/>
  <c r="R25" i="4" s="1"/>
  <c r="J26" i="1"/>
  <c r="M27" i="4" s="1"/>
  <c r="B26" i="4"/>
  <c r="N26" i="4" s="1"/>
  <c r="W26" i="4"/>
  <c r="AU26" i="4" s="1"/>
  <c r="J46" i="1"/>
  <c r="M47" i="4" s="1"/>
  <c r="J21" i="1"/>
  <c r="G22" i="4" s="1"/>
  <c r="R22" i="4" s="1"/>
  <c r="J18" i="1"/>
  <c r="G19" i="4" s="1"/>
  <c r="R19" i="4" s="1"/>
  <c r="J7" i="1"/>
  <c r="M8" i="4" s="1"/>
  <c r="AG19" i="4"/>
  <c r="BC19" i="4" s="1"/>
  <c r="G18" i="1"/>
  <c r="H18" i="1" s="1"/>
  <c r="I18" i="1" s="1"/>
  <c r="L19" i="4" s="1"/>
  <c r="J9" i="1"/>
  <c r="G10" i="4" s="1"/>
  <c r="R10" i="4" s="1"/>
  <c r="G25" i="1"/>
  <c r="H25" i="1" s="1"/>
  <c r="I25" i="1" s="1"/>
  <c r="F26" i="4" s="1"/>
  <c r="Q26" i="4" s="1"/>
  <c r="AG26" i="4"/>
  <c r="BC26" i="4" s="1"/>
  <c r="J35" i="1"/>
  <c r="G36" i="4" s="1"/>
  <c r="R36" i="4" s="1"/>
  <c r="AG10" i="4"/>
  <c r="BC10" i="4" s="1"/>
  <c r="G9" i="1"/>
  <c r="H9" i="1" s="1"/>
  <c r="I9" i="1" s="1"/>
  <c r="F10" i="4" s="1"/>
  <c r="Q10" i="4" s="1"/>
  <c r="J40" i="1"/>
  <c r="G41" i="4" s="1"/>
  <c r="R41" i="4" s="1"/>
  <c r="J41" i="1"/>
  <c r="M42" i="4" s="1"/>
  <c r="G34" i="1"/>
  <c r="H34" i="1" s="1"/>
  <c r="I34" i="1" s="1"/>
  <c r="F35" i="4" s="1"/>
  <c r="Q35" i="4" s="1"/>
  <c r="AG35" i="4"/>
  <c r="BC35" i="4" s="1"/>
  <c r="AG7" i="4"/>
  <c r="BC7" i="4" s="1"/>
  <c r="G6" i="1"/>
  <c r="H6" i="1" s="1"/>
  <c r="I6" i="1" s="1"/>
  <c r="J34" i="1"/>
  <c r="M35" i="4" s="1"/>
  <c r="AG37" i="4"/>
  <c r="BC37" i="4" s="1"/>
  <c r="O42" i="1"/>
  <c r="G4" i="1"/>
  <c r="H4" i="1" s="1"/>
  <c r="I4" i="1" s="1"/>
  <c r="L5" i="4" s="1"/>
  <c r="AG5" i="4"/>
  <c r="BC5" i="4" s="1"/>
  <c r="AG38" i="4"/>
  <c r="BC38" i="4" s="1"/>
  <c r="G37" i="1"/>
  <c r="H37" i="1" s="1"/>
  <c r="I37" i="1" s="1"/>
  <c r="L38" i="4" s="1"/>
  <c r="G36" i="1"/>
  <c r="H36" i="1" s="1"/>
  <c r="I36" i="1" s="1"/>
  <c r="F37" i="4" s="1"/>
  <c r="Q37" i="4" s="1"/>
  <c r="J4" i="1"/>
  <c r="M5" i="4" s="1"/>
  <c r="O36" i="1"/>
  <c r="G45" i="1"/>
  <c r="AG46" i="4"/>
  <c r="BC46" i="4" s="1"/>
  <c r="O17" i="1"/>
  <c r="J6" i="1"/>
  <c r="AG39" i="4"/>
  <c r="BC39" i="4" s="1"/>
  <c r="G38" i="1"/>
  <c r="H38" i="1" s="1"/>
  <c r="I38" i="1" s="1"/>
  <c r="L39" i="4" s="1"/>
  <c r="J4" i="4"/>
  <c r="U4" i="4" s="1"/>
  <c r="R9" i="1"/>
  <c r="S9" i="1" s="1"/>
  <c r="R21" i="1"/>
  <c r="S21" i="1" s="1"/>
  <c r="R31" i="1"/>
  <c r="S31" i="1" s="1"/>
  <c r="AC4" i="4"/>
  <c r="AZ4" i="4" s="1"/>
  <c r="R6" i="1"/>
  <c r="S6" i="1" s="1"/>
  <c r="R27" i="1"/>
  <c r="S27" i="1" s="1"/>
  <c r="R29" i="1"/>
  <c r="S29" i="1" s="1"/>
  <c r="R13" i="1"/>
  <c r="S13" i="1" s="1"/>
  <c r="R3" i="1"/>
  <c r="S3" i="1" s="1"/>
  <c r="AS4" i="4"/>
  <c r="BN4" i="4" s="1"/>
  <c r="AK4" i="4"/>
  <c r="BG4" i="4" s="1"/>
  <c r="R46" i="1"/>
  <c r="S46" i="1" s="1"/>
  <c r="R32" i="1"/>
  <c r="S32" i="1" s="1"/>
  <c r="R48" i="1"/>
  <c r="S48" i="1" s="1"/>
  <c r="R30" i="1"/>
  <c r="S30" i="1" s="1"/>
  <c r="G9" i="11"/>
  <c r="T24" i="1"/>
  <c r="R24" i="1"/>
  <c r="S24" i="1" s="1"/>
  <c r="O27" i="1"/>
  <c r="R11" i="1"/>
  <c r="S11" i="1" s="1"/>
  <c r="T11" i="1"/>
  <c r="R17" i="1"/>
  <c r="S17" i="1" s="1"/>
  <c r="R8" i="1"/>
  <c r="S8" i="1" s="1"/>
  <c r="T43" i="1"/>
  <c r="R43" i="1"/>
  <c r="S43" i="1" s="1"/>
  <c r="G19" i="1"/>
  <c r="H19" i="1" s="1"/>
  <c r="I19" i="1" s="1"/>
  <c r="AG20" i="4"/>
  <c r="BC20" i="4" s="1"/>
  <c r="T41" i="1"/>
  <c r="F48" i="4"/>
  <c r="Q48" i="4" s="1"/>
  <c r="G8" i="11"/>
  <c r="R5" i="1"/>
  <c r="S5" i="1" s="1"/>
  <c r="R49" i="1"/>
  <c r="S49" i="1" s="1"/>
  <c r="R18" i="1"/>
  <c r="S18" i="1" s="1"/>
  <c r="R15" i="1"/>
  <c r="S15" i="1" s="1"/>
  <c r="T15" i="1"/>
  <c r="R19" i="1"/>
  <c r="S19" i="1" s="1"/>
  <c r="T19" i="1"/>
  <c r="R40" i="1"/>
  <c r="S40" i="1" s="1"/>
  <c r="T40" i="1"/>
  <c r="T17" i="1"/>
  <c r="O38" i="1"/>
  <c r="R7" i="1"/>
  <c r="S7" i="1" s="1"/>
  <c r="T7" i="1"/>
  <c r="N29" i="4"/>
  <c r="O24" i="1"/>
  <c r="R16" i="1"/>
  <c r="S16" i="1" s="1"/>
  <c r="T16" i="1"/>
  <c r="T18" i="1"/>
  <c r="R47" i="1"/>
  <c r="S47" i="1" s="1"/>
  <c r="M37" i="1"/>
  <c r="N37" i="1" s="1"/>
  <c r="O37" i="1"/>
  <c r="O35" i="1"/>
  <c r="G43" i="1"/>
  <c r="AG44" i="4"/>
  <c r="BC44" i="4" s="1"/>
  <c r="J43" i="1"/>
  <c r="R26" i="1"/>
  <c r="S26" i="1" s="1"/>
  <c r="T26" i="1"/>
  <c r="R50" i="1"/>
  <c r="S50" i="1" s="1"/>
  <c r="R4" i="1"/>
  <c r="S4" i="1" s="1"/>
  <c r="R34" i="1"/>
  <c r="S34" i="1" s="1"/>
  <c r="G32" i="1"/>
  <c r="H32" i="1" s="1"/>
  <c r="I32" i="1" s="1"/>
  <c r="AG33" i="4"/>
  <c r="BC33" i="4" s="1"/>
  <c r="R14" i="1"/>
  <c r="S14" i="1" s="1"/>
  <c r="T14" i="1"/>
  <c r="G5" i="1"/>
  <c r="H5" i="1" s="1"/>
  <c r="I5" i="1" s="1"/>
  <c r="L6" i="4" s="1"/>
  <c r="AG6" i="4"/>
  <c r="J5" i="1"/>
  <c r="M6" i="4" s="1"/>
  <c r="O30" i="1"/>
  <c r="T34" i="1"/>
  <c r="R20" i="1"/>
  <c r="S20" i="1" s="1"/>
  <c r="T20" i="1"/>
  <c r="R39" i="1"/>
  <c r="S39" i="1" s="1"/>
  <c r="O4" i="1"/>
  <c r="H50" i="1"/>
  <c r="I50" i="1" s="1"/>
  <c r="L51" i="4" s="1"/>
  <c r="T37" i="1"/>
  <c r="R37" i="1"/>
  <c r="S37" i="1" s="1"/>
  <c r="R35" i="1"/>
  <c r="S35" i="1" s="1"/>
  <c r="T6" i="1"/>
  <c r="T9" i="1"/>
  <c r="T31" i="1"/>
  <c r="T29" i="1"/>
  <c r="T32" i="1"/>
  <c r="T27" i="1"/>
  <c r="R28" i="1"/>
  <c r="S28" i="1" s="1"/>
  <c r="R38" i="1"/>
  <c r="S38" i="1" s="1"/>
  <c r="T38" i="1"/>
  <c r="T28" i="1"/>
  <c r="O29" i="1"/>
  <c r="T44" i="1"/>
  <c r="R44" i="1"/>
  <c r="S44" i="1" s="1"/>
  <c r="R22" i="1"/>
  <c r="S22" i="1" s="1"/>
  <c r="T3" i="1"/>
  <c r="O43" i="1"/>
  <c r="R25" i="1"/>
  <c r="S25" i="1" s="1"/>
  <c r="T25" i="1"/>
  <c r="R23" i="1"/>
  <c r="S23" i="1" s="1"/>
  <c r="N25" i="4"/>
  <c r="R12" i="1"/>
  <c r="S12" i="1" s="1"/>
  <c r="T45" i="1"/>
  <c r="R45" i="1"/>
  <c r="S45" i="1" s="1"/>
  <c r="O49" i="1"/>
  <c r="G13" i="1"/>
  <c r="H13" i="1" s="1"/>
  <c r="I13" i="1" s="1"/>
  <c r="AG14" i="4"/>
  <c r="BC14" i="4" s="1"/>
  <c r="T12" i="1"/>
  <c r="R10" i="1"/>
  <c r="S10" i="1" s="1"/>
  <c r="R33" i="1"/>
  <c r="S33" i="1" s="1"/>
  <c r="R36" i="1"/>
  <c r="S36" i="1" s="1"/>
  <c r="T36" i="1"/>
  <c r="T42" i="1"/>
  <c r="R42" i="1"/>
  <c r="S42" i="1" s="1"/>
  <c r="J32" i="1"/>
  <c r="O26" i="1"/>
  <c r="O9" i="1"/>
  <c r="O23" i="1"/>
  <c r="O19" i="1"/>
  <c r="O21" i="1"/>
  <c r="O16" i="1"/>
  <c r="O47" i="1"/>
  <c r="O50" i="1"/>
  <c r="L41" i="4" l="1"/>
  <c r="L43" i="4"/>
  <c r="F30" i="4"/>
  <c r="Q30" i="4" s="1"/>
  <c r="F32" i="4"/>
  <c r="Q32" i="4" s="1"/>
  <c r="H44" i="1"/>
  <c r="I44" i="1" s="1"/>
  <c r="L45" i="4" s="1"/>
  <c r="D45" i="4"/>
  <c r="O45" i="4" s="1"/>
  <c r="H43" i="1"/>
  <c r="I43" i="1" s="1"/>
  <c r="D44" i="4"/>
  <c r="O44" i="4" s="1"/>
  <c r="L9" i="4"/>
  <c r="F27" i="4"/>
  <c r="Q27" i="4" s="1"/>
  <c r="L27" i="4"/>
  <c r="L12" i="4"/>
  <c r="G24" i="4"/>
  <c r="R24" i="4" s="1"/>
  <c r="H47" i="1"/>
  <c r="I47" i="1" s="1"/>
  <c r="L48" i="4" s="1"/>
  <c r="L13" i="4"/>
  <c r="L31" i="4"/>
  <c r="D5" i="5"/>
  <c r="H45" i="1"/>
  <c r="I45" i="1" s="1"/>
  <c r="L46" i="4" s="1"/>
  <c r="D46" i="4"/>
  <c r="O46" i="4" s="1"/>
  <c r="L29" i="4"/>
  <c r="F34" i="4"/>
  <c r="Q34" i="4" s="1"/>
  <c r="L7" i="4"/>
  <c r="F7" i="4"/>
  <c r="Q7" i="4" s="1"/>
  <c r="M7" i="4"/>
  <c r="G7" i="4"/>
  <c r="R7" i="4" s="1"/>
  <c r="F22" i="4"/>
  <c r="Q22" i="4" s="1"/>
  <c r="D8" i="11"/>
  <c r="H46" i="1"/>
  <c r="I46" i="1" s="1"/>
  <c r="F47" i="4" s="1"/>
  <c r="Q47" i="4" s="1"/>
  <c r="D47" i="4"/>
  <c r="O47" i="4" s="1"/>
  <c r="F12" i="11"/>
  <c r="F13" i="11"/>
  <c r="F24" i="4"/>
  <c r="Q24" i="4" s="1"/>
  <c r="D9" i="11"/>
  <c r="E5" i="11"/>
  <c r="L23" i="4"/>
  <c r="M29" i="4"/>
  <c r="L11" i="4"/>
  <c r="F11" i="4"/>
  <c r="Q11" i="4" s="1"/>
  <c r="E9" i="11"/>
  <c r="BI45" i="4"/>
  <c r="E12" i="11"/>
  <c r="E13" i="11"/>
  <c r="D12" i="11"/>
  <c r="D13" i="11"/>
  <c r="L42" i="4"/>
  <c r="E8" i="11"/>
  <c r="M21" i="4"/>
  <c r="G48" i="4"/>
  <c r="R48" i="4" s="1"/>
  <c r="M36" i="4"/>
  <c r="M32" i="4"/>
  <c r="G30" i="4"/>
  <c r="R30" i="4" s="1"/>
  <c r="M45" i="4"/>
  <c r="M46" i="4"/>
  <c r="G34" i="4"/>
  <c r="R34" i="4" s="1"/>
  <c r="M40" i="4"/>
  <c r="F21" i="4"/>
  <c r="Q21" i="4" s="1"/>
  <c r="F40" i="4"/>
  <c r="Q40" i="4" s="1"/>
  <c r="M13" i="4"/>
  <c r="G43" i="4"/>
  <c r="R43" i="4" s="1"/>
  <c r="G37" i="4"/>
  <c r="R37" i="4" s="1"/>
  <c r="F38" i="4"/>
  <c r="Q38" i="4" s="1"/>
  <c r="M20" i="4"/>
  <c r="G28" i="4"/>
  <c r="R28" i="4" s="1"/>
  <c r="M9" i="4"/>
  <c r="L36" i="4"/>
  <c r="G42" i="4"/>
  <c r="R42" i="4" s="1"/>
  <c r="G17" i="4"/>
  <c r="R17" i="4" s="1"/>
  <c r="M41" i="4"/>
  <c r="L35" i="4"/>
  <c r="F28" i="4"/>
  <c r="Q28" i="4" s="1"/>
  <c r="L16" i="4"/>
  <c r="H48" i="1"/>
  <c r="I48" i="1" s="1"/>
  <c r="L49" i="4" s="1"/>
  <c r="L17" i="4"/>
  <c r="M16" i="4"/>
  <c r="M26" i="4"/>
  <c r="G15" i="4"/>
  <c r="R15" i="4" s="1"/>
  <c r="F15" i="4"/>
  <c r="Q15" i="4" s="1"/>
  <c r="M19" i="4"/>
  <c r="G27" i="4"/>
  <c r="R27" i="4" s="1"/>
  <c r="L10" i="4"/>
  <c r="M11" i="4"/>
  <c r="M25" i="4"/>
  <c r="C5" i="5"/>
  <c r="L18" i="4"/>
  <c r="M22" i="4"/>
  <c r="G8" i="4"/>
  <c r="R8" i="4" s="1"/>
  <c r="D50" i="4"/>
  <c r="H49" i="1"/>
  <c r="I49" i="1" s="1"/>
  <c r="L50" i="4" s="1"/>
  <c r="M10" i="4"/>
  <c r="F19" i="4"/>
  <c r="Q19" i="4" s="1"/>
  <c r="F25" i="4"/>
  <c r="Q25" i="4" s="1"/>
  <c r="D5" i="11"/>
  <c r="M38" i="4"/>
  <c r="M14" i="4"/>
  <c r="M23" i="4"/>
  <c r="M31" i="4"/>
  <c r="L8" i="4"/>
  <c r="L26" i="4"/>
  <c r="M39" i="4"/>
  <c r="G47" i="4"/>
  <c r="R47" i="4" s="1"/>
  <c r="G12" i="4"/>
  <c r="R12" i="4" s="1"/>
  <c r="F5" i="11"/>
  <c r="N3" i="11" s="1"/>
  <c r="G18" i="4"/>
  <c r="R18" i="4" s="1"/>
  <c r="L37" i="4"/>
  <c r="F39" i="4"/>
  <c r="Q39" i="4" s="1"/>
  <c r="G35" i="4"/>
  <c r="R35" i="4" s="1"/>
  <c r="BC6" i="4"/>
  <c r="F9" i="11"/>
  <c r="F8" i="11"/>
  <c r="L44" i="4"/>
  <c r="F44" i="4"/>
  <c r="Q44" i="4" s="1"/>
  <c r="L33" i="4"/>
  <c r="F33" i="4"/>
  <c r="Q33" i="4" s="1"/>
  <c r="F20" i="4"/>
  <c r="Q20" i="4" s="1"/>
  <c r="L20" i="4"/>
  <c r="F14" i="4"/>
  <c r="Q14" i="4" s="1"/>
  <c r="L14" i="4"/>
  <c r="Q8" i="4"/>
  <c r="G44" i="4"/>
  <c r="R44" i="4" s="1"/>
  <c r="M44" i="4"/>
  <c r="G33" i="4"/>
  <c r="R33" i="4" s="1"/>
  <c r="M33" i="4"/>
  <c r="F45" i="4" l="1"/>
  <c r="Q45" i="4" s="1"/>
  <c r="F46" i="4"/>
  <c r="Q46" i="4" s="1"/>
  <c r="L47" i="4"/>
  <c r="O2" i="5"/>
  <c r="N2" i="11"/>
  <c r="N4" i="11" s="1"/>
  <c r="R18" i="12" s="1"/>
  <c r="N9" i="11"/>
  <c r="N8" i="11"/>
  <c r="R21" i="12" s="1"/>
  <c r="N5" i="11"/>
  <c r="R19" i="12" s="1"/>
  <c r="N6" i="11"/>
  <c r="O50" i="4"/>
  <c r="E5" i="5"/>
  <c r="O3" i="5" s="1"/>
  <c r="H6" i="5"/>
  <c r="O8" i="5" s="1"/>
  <c r="O4" i="5" l="1"/>
  <c r="Q18" i="12" s="1"/>
  <c r="H5" i="5"/>
  <c r="O5" i="5" s="1"/>
  <c r="O7" i="5" s="1"/>
  <c r="Q19" i="12" s="1"/>
  <c r="BQ8" i="4"/>
  <c r="CA8" i="4" s="1"/>
  <c r="BQ32" i="4"/>
  <c r="CC32" i="4" s="1"/>
  <c r="BQ44" i="4"/>
  <c r="CC44" i="4" s="1"/>
  <c r="BQ22" i="4"/>
  <c r="CB22" i="4" s="1"/>
  <c r="BQ35" i="4"/>
  <c r="CC35" i="4" s="1"/>
  <c r="BQ24" i="4"/>
  <c r="BZ24" i="4" s="1"/>
  <c r="BQ14" i="4"/>
  <c r="CB14" i="4" s="1"/>
  <c r="BQ48" i="4"/>
  <c r="CC48" i="4" s="1"/>
  <c r="BQ25" i="4"/>
  <c r="BZ25" i="4" s="1"/>
  <c r="BQ36" i="4"/>
  <c r="CC36" i="4" s="1"/>
  <c r="BQ49" i="4"/>
  <c r="CC49" i="4" s="1"/>
  <c r="BQ26" i="4"/>
  <c r="CC26" i="4" s="1"/>
  <c r="BQ38" i="4"/>
  <c r="BZ38" i="4" s="1"/>
  <c r="BQ27" i="4"/>
  <c r="CA27" i="4" s="1"/>
  <c r="BQ15" i="4"/>
  <c r="BZ15" i="4" s="1"/>
  <c r="BQ7" i="4"/>
  <c r="CA7" i="4" s="1"/>
  <c r="BQ42" i="4"/>
  <c r="BZ42" i="4" s="1"/>
  <c r="BQ37" i="4"/>
  <c r="BZ37" i="4" s="1"/>
  <c r="BQ41" i="4"/>
  <c r="BZ41" i="4" s="1"/>
  <c r="BQ30" i="4"/>
  <c r="BZ30" i="4" s="1"/>
  <c r="BQ16" i="4"/>
  <c r="BZ16" i="4" s="1"/>
  <c r="BQ39" i="4"/>
  <c r="CC39" i="4" s="1"/>
  <c r="BQ19" i="4"/>
  <c r="BZ19" i="4" s="1"/>
  <c r="BQ31" i="4"/>
  <c r="BZ31" i="4" s="1"/>
  <c r="BQ43" i="4"/>
  <c r="BZ43" i="4" s="1"/>
  <c r="BQ20" i="4"/>
  <c r="CA20" i="4" s="1"/>
  <c r="BQ21" i="4"/>
  <c r="CA21" i="4" s="1"/>
  <c r="BQ10" i="4"/>
  <c r="CC10" i="4" s="1"/>
  <c r="BQ11" i="4"/>
  <c r="CB11" i="4" s="1"/>
  <c r="BQ45" i="4"/>
  <c r="BZ45" i="4" s="1"/>
  <c r="BQ50" i="4"/>
  <c r="BZ50" i="4" s="1"/>
  <c r="BQ51" i="4"/>
  <c r="CC51" i="4" s="1"/>
  <c r="BQ9" i="4"/>
  <c r="CB9" i="4" s="1"/>
  <c r="N7" i="11"/>
  <c r="BQ34" i="4"/>
  <c r="BZ34" i="4" s="1"/>
  <c r="BQ12" i="4"/>
  <c r="BZ12" i="4" s="1"/>
  <c r="BQ47" i="4"/>
  <c r="BZ47" i="4" s="1"/>
  <c r="BQ13" i="4"/>
  <c r="CA13" i="4" s="1"/>
  <c r="BQ5" i="4"/>
  <c r="CB5" i="4" s="1"/>
  <c r="BQ17" i="4"/>
  <c r="CB17" i="4" s="1"/>
  <c r="BQ28" i="4"/>
  <c r="BZ28" i="4" s="1"/>
  <c r="BQ4" i="4"/>
  <c r="CA4" i="4" s="1"/>
  <c r="BQ33" i="4"/>
  <c r="BZ33" i="4" s="1"/>
  <c r="BQ40" i="4"/>
  <c r="CC40" i="4" s="1"/>
  <c r="BQ23" i="4"/>
  <c r="CC23" i="4" s="1"/>
  <c r="BQ6" i="4"/>
  <c r="BZ6" i="4" s="1"/>
  <c r="BQ18" i="4"/>
  <c r="BZ18" i="4" s="1"/>
  <c r="BQ46" i="4"/>
  <c r="BZ46" i="4" s="1"/>
  <c r="BQ29" i="4"/>
  <c r="BZ29" i="4" s="1"/>
  <c r="BP36" i="4" l="1"/>
  <c r="BY36" i="4" s="1"/>
  <c r="BP39" i="4"/>
  <c r="BV39" i="4" s="1"/>
  <c r="BP43" i="4"/>
  <c r="BV43" i="4" s="1"/>
  <c r="BP49" i="4"/>
  <c r="BV49" i="4" s="1"/>
  <c r="BP23" i="4"/>
  <c r="BX23" i="4" s="1"/>
  <c r="BP33" i="4"/>
  <c r="BV33" i="4" s="1"/>
  <c r="BP32" i="4"/>
  <c r="BY32" i="4" s="1"/>
  <c r="BP26" i="4"/>
  <c r="BX26" i="4" s="1"/>
  <c r="BP24" i="4"/>
  <c r="BY24" i="4" s="1"/>
  <c r="BP45" i="4"/>
  <c r="BY45" i="4" s="1"/>
  <c r="BP22" i="4"/>
  <c r="BX22" i="4" s="1"/>
  <c r="BP10" i="4"/>
  <c r="BV10" i="4" s="1"/>
  <c r="BP13" i="4"/>
  <c r="BX13" i="4" s="1"/>
  <c r="BP18" i="4"/>
  <c r="BX18" i="4" s="1"/>
  <c r="BP27" i="4"/>
  <c r="BY27" i="4" s="1"/>
  <c r="BP11" i="4"/>
  <c r="BW11" i="4" s="1"/>
  <c r="BP8" i="4"/>
  <c r="BX8" i="4" s="1"/>
  <c r="BP4" i="4"/>
  <c r="BW4" i="4" s="1"/>
  <c r="BP38" i="4"/>
  <c r="BY38" i="4" s="1"/>
  <c r="BP17" i="4"/>
  <c r="BV17" i="4" s="1"/>
  <c r="BP41" i="4"/>
  <c r="BV41" i="4" s="1"/>
  <c r="BP34" i="4"/>
  <c r="BY34" i="4" s="1"/>
  <c r="BP14" i="4"/>
  <c r="BV14" i="4" s="1"/>
  <c r="BP16" i="4"/>
  <c r="BV16" i="4" s="1"/>
  <c r="BP12" i="4"/>
  <c r="BV12" i="4" s="1"/>
  <c r="BP25" i="4"/>
  <c r="BX25" i="4" s="1"/>
  <c r="BP51" i="4"/>
  <c r="BY51" i="4" s="1"/>
  <c r="BP47" i="4"/>
  <c r="BY47" i="4" s="1"/>
  <c r="BP40" i="4"/>
  <c r="BY40" i="4" s="1"/>
  <c r="BP7" i="4"/>
  <c r="BV7" i="4" s="1"/>
  <c r="BP37" i="4"/>
  <c r="BV37" i="4" s="1"/>
  <c r="O9" i="5"/>
  <c r="Q20" i="12" s="1"/>
  <c r="BP48" i="4"/>
  <c r="BY48" i="4" s="1"/>
  <c r="BP15" i="4"/>
  <c r="BX15" i="4" s="1"/>
  <c r="BP42" i="4"/>
  <c r="BV42" i="4" s="1"/>
  <c r="BP35" i="4"/>
  <c r="BV35" i="4" s="1"/>
  <c r="BP20" i="4"/>
  <c r="BW20" i="4" s="1"/>
  <c r="BP5" i="4"/>
  <c r="BX5" i="4" s="1"/>
  <c r="BP6" i="4"/>
  <c r="BV6" i="4" s="1"/>
  <c r="BP50" i="4"/>
  <c r="BV50" i="4" s="1"/>
  <c r="BP31" i="4"/>
  <c r="BV31" i="4" s="1"/>
  <c r="BP46" i="4"/>
  <c r="BY46" i="4" s="1"/>
  <c r="BP44" i="4"/>
  <c r="BY44" i="4" s="1"/>
  <c r="BP28" i="4"/>
  <c r="BV28" i="4" s="1"/>
  <c r="BP29" i="4"/>
  <c r="BV29" i="4" s="1"/>
  <c r="BP19" i="4"/>
  <c r="BX19" i="4" s="1"/>
  <c r="BP30" i="4"/>
  <c r="BV30" i="4" s="1"/>
  <c r="BP9" i="4"/>
  <c r="BV9" i="4" s="1"/>
  <c r="BP21" i="4"/>
  <c r="BX21" i="4" s="1"/>
  <c r="R20" i="12"/>
  <c r="R22" i="12"/>
  <c r="BZ39" i="4"/>
  <c r="BZ32" i="4"/>
  <c r="CB8" i="4"/>
  <c r="BZ8" i="4"/>
  <c r="BZ44" i="4"/>
  <c r="BZ35" i="4"/>
  <c r="CA22" i="4"/>
  <c r="BZ22" i="4"/>
  <c r="CC22" i="4"/>
  <c r="CC15" i="4"/>
  <c r="CC43" i="4"/>
  <c r="BZ49" i="4"/>
  <c r="CC31" i="4"/>
  <c r="BZ36" i="4"/>
  <c r="CB15" i="4"/>
  <c r="CA15" i="4"/>
  <c r="CA19" i="4"/>
  <c r="CA26" i="4"/>
  <c r="CC14" i="4"/>
  <c r="BZ48" i="4"/>
  <c r="CC30" i="4"/>
  <c r="CC47" i="4"/>
  <c r="CC37" i="4"/>
  <c r="CC41" i="4"/>
  <c r="BZ7" i="4"/>
  <c r="CB7" i="4"/>
  <c r="CB26" i="4"/>
  <c r="BZ26" i="4"/>
  <c r="CC19" i="4"/>
  <c r="CB19" i="4"/>
  <c r="CA16" i="4"/>
  <c r="CC16" i="4"/>
  <c r="BZ11" i="4"/>
  <c r="BZ23" i="4"/>
  <c r="CB16" i="4"/>
  <c r="CC42" i="4"/>
  <c r="CA11" i="4"/>
  <c r="CC33" i="4"/>
  <c r="BZ40" i="4"/>
  <c r="CC11" i="4"/>
  <c r="CA24" i="4"/>
  <c r="CA14" i="4"/>
  <c r="BZ9" i="4"/>
  <c r="BZ14" i="4"/>
  <c r="CA9" i="4"/>
  <c r="BZ21" i="4"/>
  <c r="CC21" i="4"/>
  <c r="CB21" i="4"/>
  <c r="CB10" i="4"/>
  <c r="CA10" i="4"/>
  <c r="BZ20" i="4"/>
  <c r="BZ10" i="4"/>
  <c r="CC20" i="4"/>
  <c r="CC25" i="4"/>
  <c r="CB20" i="4"/>
  <c r="CA25" i="4"/>
  <c r="CB27" i="4"/>
  <c r="CB25" i="4"/>
  <c r="CC27" i="4"/>
  <c r="BZ27" i="4"/>
  <c r="CC24" i="4"/>
  <c r="CB23" i="4"/>
  <c r="CB24" i="4"/>
  <c r="CA23" i="4"/>
  <c r="CC38" i="4"/>
  <c r="CB6" i="4"/>
  <c r="CA6" i="4"/>
  <c r="CB13" i="4"/>
  <c r="BZ13" i="4"/>
  <c r="CC13" i="4"/>
  <c r="CB12" i="4"/>
  <c r="CA12" i="4"/>
  <c r="CC12" i="4"/>
  <c r="CC29" i="4"/>
  <c r="CC46" i="4"/>
  <c r="CC45" i="4"/>
  <c r="CB18" i="4"/>
  <c r="CA5" i="4"/>
  <c r="BZ51" i="4"/>
  <c r="BZ5" i="4"/>
  <c r="CC34" i="4"/>
  <c r="CC50" i="4"/>
  <c r="CA18" i="4"/>
  <c r="CC18" i="4"/>
  <c r="CB4" i="4"/>
  <c r="BZ4" i="4"/>
  <c r="BZ17" i="4"/>
  <c r="CC17" i="4"/>
  <c r="CA17" i="4"/>
  <c r="CC28" i="4"/>
  <c r="BV38" i="4" l="1"/>
  <c r="BY43" i="4"/>
  <c r="BW17" i="4"/>
  <c r="BY17" i="4"/>
  <c r="BV22" i="4"/>
  <c r="BV4" i="4"/>
  <c r="BX4" i="4"/>
  <c r="BY15" i="4"/>
  <c r="BX17" i="4"/>
  <c r="BY49" i="4"/>
  <c r="BV36" i="4"/>
  <c r="BV8" i="4"/>
  <c r="BV24" i="4"/>
  <c r="BW24" i="4"/>
  <c r="BX24" i="4"/>
  <c r="BY12" i="4"/>
  <c r="BW22" i="4"/>
  <c r="BX12" i="4"/>
  <c r="BY13" i="4"/>
  <c r="BY22" i="4"/>
  <c r="BX10" i="4"/>
  <c r="BV47" i="4"/>
  <c r="BV15" i="4"/>
  <c r="BY31" i="4"/>
  <c r="BV51" i="4"/>
  <c r="BW13" i="4"/>
  <c r="BY25" i="4"/>
  <c r="BW25" i="4"/>
  <c r="BV27" i="4"/>
  <c r="BY29" i="4"/>
  <c r="BV25" i="4"/>
  <c r="BY39" i="4"/>
  <c r="BY10" i="4"/>
  <c r="BW15" i="4"/>
  <c r="BW10" i="4"/>
  <c r="BV45" i="4"/>
  <c r="BV48" i="4"/>
  <c r="BX7" i="4"/>
  <c r="BW12" i="4"/>
  <c r="BW8" i="4"/>
  <c r="BY33" i="4"/>
  <c r="BW21" i="4"/>
  <c r="BX14" i="4"/>
  <c r="BY41" i="4"/>
  <c r="BW6" i="4"/>
  <c r="BV21" i="4"/>
  <c r="BY23" i="4"/>
  <c r="BY21" i="4"/>
  <c r="BX20" i="4"/>
  <c r="BY19" i="4"/>
  <c r="BV20" i="4"/>
  <c r="BY35" i="4"/>
  <c r="BY20" i="4"/>
  <c r="BX11" i="4"/>
  <c r="BW14" i="4"/>
  <c r="BY11" i="4"/>
  <c r="BY26" i="4"/>
  <c r="BW19" i="4"/>
  <c r="BX16" i="4"/>
  <c r="BY50" i="4"/>
  <c r="BY16" i="4"/>
  <c r="BW18" i="4"/>
  <c r="BV18" i="4"/>
  <c r="BV34" i="4"/>
  <c r="BV26" i="4"/>
  <c r="BW23" i="4"/>
  <c r="BW5" i="4"/>
  <c r="BV19" i="4"/>
  <c r="BV40" i="4"/>
  <c r="BV13" i="4"/>
  <c r="BV23" i="4"/>
  <c r="BX9" i="4"/>
  <c r="BW7" i="4"/>
  <c r="BY18" i="4"/>
  <c r="BW27" i="4"/>
  <c r="BX27" i="4"/>
  <c r="BV11" i="4"/>
  <c r="BW16" i="4"/>
  <c r="BY37" i="4"/>
  <c r="BV32" i="4"/>
  <c r="BW26" i="4"/>
  <c r="BV5" i="4"/>
  <c r="BX6" i="4"/>
  <c r="BY14" i="4"/>
  <c r="BY42" i="4"/>
  <c r="BY30" i="4"/>
  <c r="BV46" i="4"/>
  <c r="BW9" i="4"/>
  <c r="BV44" i="4"/>
  <c r="BY28" i="4"/>
  <c r="BZ3" i="4"/>
  <c r="P10" i="12" s="1"/>
  <c r="BV3" i="4" l="1"/>
  <c r="P6" i="12" s="1"/>
</calcChain>
</file>

<file path=xl/sharedStrings.xml><?xml version="1.0" encoding="utf-8"?>
<sst xmlns="http://schemas.openxmlformats.org/spreadsheetml/2006/main" count="312" uniqueCount="138">
  <si>
    <t>m</t>
  </si>
  <si>
    <t>Trace</t>
  </si>
  <si>
    <t>Difference</t>
  </si>
  <si>
    <t>v1</t>
  </si>
  <si>
    <t>T zentral</t>
  </si>
  <si>
    <t>x</t>
  </si>
  <si>
    <t>Fern Difference</t>
  </si>
  <si>
    <t>Steigung</t>
  </si>
  <si>
    <t>v0</t>
  </si>
  <si>
    <t>v0 Zentral</t>
  </si>
  <si>
    <t>v0 Off-end</t>
  </si>
  <si>
    <t>v0 Gesamt</t>
  </si>
  <si>
    <t>h0</t>
  </si>
  <si>
    <t>ti1</t>
  </si>
  <si>
    <t>m/s</t>
  </si>
  <si>
    <t>ms</t>
  </si>
  <si>
    <t>v1 Off-end</t>
  </si>
  <si>
    <t>v1 Fern</t>
  </si>
  <si>
    <t>v1 Gesamt</t>
  </si>
  <si>
    <t>von [m]</t>
  </si>
  <si>
    <t>bis [m]</t>
  </si>
  <si>
    <t>Plus-Zeiten</t>
  </si>
  <si>
    <t>v2</t>
  </si>
  <si>
    <t>ti2</t>
  </si>
  <si>
    <t>h1</t>
  </si>
  <si>
    <t>2-Schichtfall</t>
  </si>
  <si>
    <t>v2 Gesamt</t>
  </si>
  <si>
    <t>3-Schichtfall</t>
  </si>
  <si>
    <t>Auswertung als 2-Schichtfall nach Hagedoorn (Plus-Minus-Methode)</t>
  </si>
  <si>
    <t>Auswertung als 3-Schichtfall (statistische Auswertung)</t>
  </si>
  <si>
    <t>WEITER</t>
  </si>
  <si>
    <t>Name eingeben:</t>
  </si>
  <si>
    <t>Zurück zur 2-Schichtfallauswertung</t>
  </si>
  <si>
    <t>Zurück zur 3-Schichtfallauswertung</t>
  </si>
  <si>
    <t>Darstellung der theoretischen LZK mit Picks</t>
  </si>
  <si>
    <t>RMS-Fehler 2-Schichtfall</t>
  </si>
  <si>
    <t>RMS-Fehler 3-Schichtfall</t>
  </si>
  <si>
    <t>T fern -</t>
  </si>
  <si>
    <t>T fern +</t>
  </si>
  <si>
    <t>T fern - -</t>
  </si>
  <si>
    <t>T fern + +</t>
  </si>
  <si>
    <t>T fern-</t>
  </si>
  <si>
    <t>T fern+</t>
  </si>
  <si>
    <t>T fern--</t>
  </si>
  <si>
    <t>T fern++</t>
  </si>
  <si>
    <t>T off-end -</t>
  </si>
  <si>
    <t>T off-end +</t>
  </si>
  <si>
    <t>T off-end - corr.</t>
  </si>
  <si>
    <t>Pluszeiten</t>
  </si>
  <si>
    <t>Minuszeiten</t>
  </si>
  <si>
    <t>Fern Pluszeiten</t>
  </si>
  <si>
    <t>Fern2 Difference</t>
  </si>
  <si>
    <t>Fern2 Pluszeiten</t>
  </si>
  <si>
    <t>T zentral -</t>
  </si>
  <si>
    <t>T zentral +</t>
  </si>
  <si>
    <t>Off-end -</t>
  </si>
  <si>
    <t>Off-end +</t>
  </si>
  <si>
    <t>Fern -</t>
  </si>
  <si>
    <t>Fern +</t>
  </si>
  <si>
    <t>Zentral -</t>
  </si>
  <si>
    <t>Zentral +</t>
  </si>
  <si>
    <t>Picks Schicht 1 für Berechnung</t>
  </si>
  <si>
    <t>Darstellung</t>
  </si>
  <si>
    <t>Picks Schicht 2 für Berechnung</t>
  </si>
  <si>
    <t>Fern --</t>
  </si>
  <si>
    <t>Fern ++</t>
  </si>
  <si>
    <t>Picks Schicht 0 für Berechnung</t>
  </si>
  <si>
    <t>Theoretische Picks</t>
  </si>
  <si>
    <t>2-Schicht</t>
  </si>
  <si>
    <t>3-Schicht</t>
  </si>
  <si>
    <t>für Fit</t>
  </si>
  <si>
    <t>Betrag der Offsets</t>
  </si>
  <si>
    <t>für Darstellung in Fit</t>
  </si>
  <si>
    <t>Projekt:</t>
  </si>
  <si>
    <t>Pluszeit</t>
  </si>
  <si>
    <t>Minuszeit</t>
  </si>
  <si>
    <t>Fern Minuszeiten</t>
  </si>
  <si>
    <t>Fern2 Minuszeiten</t>
  </si>
  <si>
    <t>Auswahl Anregungspunkte zur Berechnung Plus- und Minuszeiten</t>
  </si>
  <si>
    <t>(Off-end = 1; Fern = 2; Fern2 = 3):</t>
  </si>
  <si>
    <t>Darstellung v0</t>
  </si>
  <si>
    <t>Zentral</t>
  </si>
  <si>
    <t>Darstellung v1</t>
  </si>
  <si>
    <t>Darstellung v2</t>
  </si>
  <si>
    <t>Berechnung RMS-Fehler</t>
  </si>
  <si>
    <t>SP_x</t>
  </si>
  <si>
    <t>In rot umrandeten Zellen Start und Ende der Zahlenbereiche für Anstieg anpassen (Mauszeiger über entsprechenden Pick im Diagramm halten), entsprechend der linearen Bereiche der Laufzeitkurven!</t>
  </si>
  <si>
    <t>In rot umrandete Zellen Start und Ende der Zahlenbereiche für Anstieg anpassen (Mauszeiger über entsprechenden Pick im Diagramm halten), entsprechend der linearen Bereiche der Laufzeitkurven!</t>
  </si>
  <si>
    <t>RMS-Fehler nur für Zentral-, Hin- und Rückschuss berechnet</t>
  </si>
  <si>
    <t>v0 [m/s]</t>
  </si>
  <si>
    <t>v1 [m/s]</t>
  </si>
  <si>
    <t>v2 [m/s]</t>
  </si>
  <si>
    <t>h1 [m]</t>
  </si>
  <si>
    <t>h0 [m]</t>
  </si>
  <si>
    <t>Ergebnisse:</t>
  </si>
  <si>
    <t>#</t>
  </si>
  <si>
    <t># File Format: (order must be followed)</t>
  </si>
  <si>
    <t># - The first valid line represents the number of headers</t>
  </si>
  <si>
    <t>#   to add or read.</t>
  </si>
  <si>
    <t>#   (NOTE: For READ</t>
  </si>
  <si>
    <t xml:space="preserve"> MAKE SURE this is CORRECT)</t>
  </si>
  <si>
    <t># - After that header information is listed.</t>
  </si>
  <si>
    <t># - Then the titles for data columns are listed.</t>
  </si>
  <si>
    <t># - Finally</t>
  </si>
  <si>
    <t xml:space="preserve"> the data is listed in columns.</t>
  </si>
  <si>
    <t># Any line starting with '#' is a comment line and is ignored.</t>
  </si>
  <si>
    <t># Blank lines are also ignored.</t>
  </si>
  <si>
    <t># The format of header information is as follows:</t>
  </si>
  <si>
    <t>#   Name Description Format NoOfValues/Length</t>
  </si>
  <si>
    <t>CHAN</t>
  </si>
  <si>
    <t>Recording channel number</t>
  </si>
  <si>
    <t>Integer 1</t>
  </si>
  <si>
    <t>FFID</t>
  </si>
  <si>
    <t>Field file ID number</t>
  </si>
  <si>
    <t>FB_PICK</t>
  </si>
  <si>
    <t>First break pick time</t>
  </si>
  <si>
    <t>Float 1</t>
  </si>
  <si>
    <t>GEO_COMP</t>
  </si>
  <si>
    <t>Geophone component (x,y,z)</t>
  </si>
  <si>
    <t># Data Format:</t>
  </si>
  <si>
    <t># After header information listed above</t>
  </si>
  <si>
    <t># the first row will contain the headings for the</t>
  </si>
  <si>
    <t># columns</t>
  </si>
  <si>
    <t xml:space="preserve"> then underneath each column will have</t>
  </si>
  <si>
    <t># values for that header.</t>
  </si>
  <si>
    <t># The order of the columns can be arbitrary</t>
  </si>
  <si>
    <t># and is independent of order of header info above.</t>
  </si>
  <si>
    <t># All titles or column headings have to be in one line</t>
  </si>
  <si>
    <t># also data for each trace should be in one line.</t>
  </si>
  <si>
    <t># For READ</t>
  </si>
  <si>
    <t xml:space="preserve"> the number of header information to store</t>
  </si>
  <si>
    <t># can be less than number of columns of data.</t>
  </si>
  <si>
    <t># Column Headings:</t>
  </si>
  <si>
    <t>CHAN_OFFSET</t>
  </si>
  <si>
    <t>T0 Korrektur</t>
  </si>
  <si>
    <t>Version 2.5, 48 channels</t>
  </si>
  <si>
    <t>3D-Seismik Erfurt 2026</t>
  </si>
  <si>
    <t>LVL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</si>
</sst>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"/>
  </numFmts>
  <fonts count="22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color indexed="8"/>
      <name val="Arial"/>
      <family val="2"/>
    </font>
    <font>
      <sz val="14"/>
      <color indexed="10"/>
      <name val="Arial"/>
      <family val="2"/>
    </font>
    <font>
      <sz val="8"/>
      <name val="Arial"/>
      <family val="2"/>
    </font>
    <font>
      <b/>
      <sz val="14"/>
      <color indexed="10"/>
      <name val="Arial"/>
      <family val="2"/>
    </font>
    <font>
      <u/>
      <sz val="10"/>
      <color indexed="12"/>
      <name val="Arial"/>
      <family val="2"/>
    </font>
    <font>
      <b/>
      <sz val="10"/>
      <color indexed="8"/>
      <name val="Arial"/>
      <family val="2"/>
    </font>
    <font>
      <b/>
      <sz val="20"/>
      <color indexed="8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9"/>
      <color rgb="FF0000FF"/>
      <name val="Arial"/>
      <family val="2"/>
    </font>
    <font>
      <sz val="8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0">
    <border>
      <left/>
      <right/>
      <top/>
      <bottom/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22"/>
      </right>
      <top/>
      <bottom/>
      <diagonal/>
    </border>
    <border>
      <left/>
      <right style="thick">
        <color indexed="22"/>
      </right>
      <top/>
      <bottom/>
      <diagonal/>
    </border>
    <border>
      <left/>
      <right style="thick">
        <color indexed="42"/>
      </right>
      <top/>
      <bottom/>
      <diagonal/>
    </border>
    <border>
      <left/>
      <right/>
      <top/>
      <bottom style="thick">
        <color indexed="42"/>
      </bottom>
      <diagonal/>
    </border>
    <border>
      <left/>
      <right style="thick">
        <color indexed="45"/>
      </right>
      <top/>
      <bottom/>
      <diagonal/>
    </border>
    <border>
      <left/>
      <right/>
      <top/>
      <bottom style="thick">
        <color indexed="4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26"/>
      </left>
      <right/>
      <top style="thick">
        <color indexed="26"/>
      </top>
      <bottom/>
      <diagonal/>
    </border>
    <border>
      <left/>
      <right/>
      <top style="thick">
        <color indexed="26"/>
      </top>
      <bottom/>
      <diagonal/>
    </border>
    <border>
      <left/>
      <right style="thick">
        <color indexed="19"/>
      </right>
      <top style="thick">
        <color indexed="26"/>
      </top>
      <bottom/>
      <diagonal/>
    </border>
    <border>
      <left style="thick">
        <color indexed="26"/>
      </left>
      <right/>
      <top/>
      <bottom/>
      <diagonal/>
    </border>
    <border>
      <left/>
      <right style="thick">
        <color indexed="19"/>
      </right>
      <top/>
      <bottom/>
      <diagonal/>
    </border>
    <border>
      <left style="thick">
        <color indexed="26"/>
      </left>
      <right/>
      <top/>
      <bottom style="thick">
        <color indexed="19"/>
      </bottom>
      <diagonal/>
    </border>
    <border>
      <left/>
      <right/>
      <top/>
      <bottom style="thick">
        <color indexed="19"/>
      </bottom>
      <diagonal/>
    </border>
    <border>
      <left/>
      <right style="thick">
        <color indexed="19"/>
      </right>
      <top/>
      <bottom style="thick">
        <color indexed="19"/>
      </bottom>
      <diagonal/>
    </border>
    <border>
      <left style="thick">
        <color indexed="42"/>
      </left>
      <right/>
      <top style="thick">
        <color indexed="42"/>
      </top>
      <bottom/>
      <diagonal/>
    </border>
    <border>
      <left/>
      <right/>
      <top style="thick">
        <color indexed="42"/>
      </top>
      <bottom/>
      <diagonal/>
    </border>
    <border>
      <left/>
      <right style="thick">
        <color indexed="57"/>
      </right>
      <top style="thick">
        <color indexed="42"/>
      </top>
      <bottom/>
      <diagonal/>
    </border>
    <border>
      <left style="thick">
        <color indexed="42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42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/>
      <right style="thick">
        <color indexed="16"/>
      </right>
      <top/>
      <bottom/>
      <diagonal/>
    </border>
    <border>
      <left/>
      <right/>
      <top/>
      <bottom style="thick">
        <color indexed="16"/>
      </bottom>
      <diagonal/>
    </border>
    <border>
      <left/>
      <right style="thick">
        <color indexed="16"/>
      </right>
      <top/>
      <bottom style="thick">
        <color indexed="16"/>
      </bottom>
      <diagonal/>
    </border>
    <border>
      <left style="thick">
        <color indexed="22"/>
      </left>
      <right/>
      <top style="thick">
        <color indexed="22"/>
      </top>
      <bottom/>
      <diagonal/>
    </border>
    <border>
      <left/>
      <right style="thick">
        <color indexed="63"/>
      </right>
      <top style="thick">
        <color indexed="22"/>
      </top>
      <bottom/>
      <diagonal/>
    </border>
    <border>
      <left style="thick">
        <color indexed="22"/>
      </left>
      <right/>
      <top/>
      <bottom/>
      <diagonal/>
    </border>
    <border>
      <left/>
      <right style="thick">
        <color indexed="63"/>
      </right>
      <top/>
      <bottom/>
      <diagonal/>
    </border>
    <border>
      <left style="thick">
        <color indexed="22"/>
      </left>
      <right/>
      <top/>
      <bottom style="thick">
        <color indexed="63"/>
      </bottom>
      <diagonal/>
    </border>
    <border>
      <left/>
      <right style="thick">
        <color indexed="63"/>
      </right>
      <top/>
      <bottom style="thick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3"/>
      </bottom>
      <diagonal/>
    </border>
    <border>
      <left style="thick">
        <color indexed="45"/>
      </left>
      <right/>
      <top style="thick">
        <color indexed="45"/>
      </top>
      <bottom/>
      <diagonal/>
    </border>
    <border>
      <left/>
      <right/>
      <top style="thick">
        <color indexed="45"/>
      </top>
      <bottom/>
      <diagonal/>
    </border>
    <border>
      <left/>
      <right style="thick">
        <color indexed="16"/>
      </right>
      <top style="thick">
        <color indexed="45"/>
      </top>
      <bottom/>
      <diagonal/>
    </border>
    <border>
      <left style="thick">
        <color indexed="45"/>
      </left>
      <right/>
      <top/>
      <bottom/>
      <diagonal/>
    </border>
    <border>
      <left style="thick">
        <color indexed="45"/>
      </left>
      <right/>
      <top/>
      <bottom style="thick">
        <color indexed="16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4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8" fillId="0" borderId="0"/>
  </cellStyleXfs>
  <cellXfs count="333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2" fontId="3" fillId="0" borderId="0" xfId="0" applyNumberFormat="1" applyFont="1"/>
    <xf numFmtId="0" fontId="5" fillId="0" borderId="0" xfId="0" applyFont="1"/>
    <xf numFmtId="2" fontId="5" fillId="0" borderId="0" xfId="0" applyNumberFormat="1" applyFont="1"/>
    <xf numFmtId="2" fontId="6" fillId="0" borderId="0" xfId="0" applyNumberFormat="1" applyFont="1"/>
    <xf numFmtId="2" fontId="4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right"/>
    </xf>
    <xf numFmtId="2" fontId="4" fillId="0" borderId="2" xfId="0" applyNumberFormat="1" applyFont="1" applyBorder="1" applyAlignment="1">
      <alignment horizontal="right"/>
    </xf>
    <xf numFmtId="0" fontId="5" fillId="0" borderId="2" xfId="0" applyFont="1" applyBorder="1"/>
    <xf numFmtId="2" fontId="5" fillId="0" borderId="2" xfId="0" applyNumberFormat="1" applyFont="1" applyBorder="1"/>
    <xf numFmtId="2" fontId="4" fillId="0" borderId="3" xfId="0" applyNumberFormat="1" applyFont="1" applyBorder="1" applyAlignment="1">
      <alignment horizontal="right"/>
    </xf>
    <xf numFmtId="2" fontId="5" fillId="0" borderId="3" xfId="0" applyNumberFormat="1" applyFont="1" applyBorder="1"/>
    <xf numFmtId="2" fontId="4" fillId="2" borderId="2" xfId="0" applyNumberFormat="1" applyFont="1" applyFill="1" applyBorder="1" applyAlignment="1">
      <alignment horizontal="right"/>
    </xf>
    <xf numFmtId="1" fontId="4" fillId="3" borderId="2" xfId="0" applyNumberFormat="1" applyFont="1" applyFill="1" applyBorder="1"/>
    <xf numFmtId="2" fontId="4" fillId="3" borderId="2" xfId="0" applyNumberFormat="1" applyFont="1" applyFill="1" applyBorder="1"/>
    <xf numFmtId="1" fontId="4" fillId="3" borderId="2" xfId="0" applyNumberFormat="1" applyFont="1" applyFill="1" applyBorder="1" applyAlignment="1"/>
    <xf numFmtId="0" fontId="4" fillId="3" borderId="4" xfId="0" applyFont="1" applyFill="1" applyBorder="1"/>
    <xf numFmtId="1" fontId="4" fillId="3" borderId="5" xfId="0" applyNumberFormat="1" applyFont="1" applyFill="1" applyBorder="1"/>
    <xf numFmtId="2" fontId="4" fillId="3" borderId="6" xfId="0" applyNumberFormat="1" applyFont="1" applyFill="1" applyBorder="1"/>
    <xf numFmtId="0" fontId="4" fillId="3" borderId="7" xfId="0" applyFont="1" applyFill="1" applyBorder="1"/>
    <xf numFmtId="2" fontId="4" fillId="3" borderId="8" xfId="0" applyNumberFormat="1" applyFont="1" applyFill="1" applyBorder="1"/>
    <xf numFmtId="0" fontId="4" fillId="3" borderId="9" xfId="0" applyFont="1" applyFill="1" applyBorder="1"/>
    <xf numFmtId="2" fontId="4" fillId="3" borderId="10" xfId="0" applyNumberFormat="1" applyFont="1" applyFill="1" applyBorder="1"/>
    <xf numFmtId="2" fontId="4" fillId="3" borderId="11" xfId="0" applyNumberFormat="1" applyFont="1" applyFill="1" applyBorder="1"/>
    <xf numFmtId="0" fontId="5" fillId="4" borderId="0" xfId="0" applyFont="1" applyFill="1"/>
    <xf numFmtId="2" fontId="5" fillId="4" borderId="0" xfId="0" applyNumberFormat="1" applyFont="1" applyFill="1"/>
    <xf numFmtId="2" fontId="3" fillId="4" borderId="0" xfId="0" applyNumberFormat="1" applyFont="1" applyFill="1"/>
    <xf numFmtId="0" fontId="3" fillId="4" borderId="0" xfId="0" applyFont="1" applyFill="1"/>
    <xf numFmtId="2" fontId="6" fillId="4" borderId="0" xfId="0" applyNumberFormat="1" applyFont="1" applyFill="1"/>
    <xf numFmtId="2" fontId="4" fillId="4" borderId="0" xfId="0" applyNumberFormat="1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3" fillId="4" borderId="0" xfId="0" applyFont="1" applyFill="1" applyBorder="1"/>
    <xf numFmtId="2" fontId="6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right"/>
    </xf>
    <xf numFmtId="164" fontId="5" fillId="0" borderId="4" xfId="0" applyNumberFormat="1" applyFont="1" applyBorder="1" applyAlignment="1"/>
    <xf numFmtId="0" fontId="5" fillId="0" borderId="7" xfId="0" applyFont="1" applyBorder="1" applyAlignment="1"/>
    <xf numFmtId="2" fontId="4" fillId="0" borderId="9" xfId="0" applyNumberFormat="1" applyFont="1" applyBorder="1" applyAlignment="1"/>
    <xf numFmtId="2" fontId="4" fillId="0" borderId="12" xfId="0" applyNumberFormat="1" applyFont="1" applyBorder="1" applyAlignment="1">
      <alignment horizontal="right"/>
    </xf>
    <xf numFmtId="49" fontId="10" fillId="4" borderId="0" xfId="0" applyNumberFormat="1" applyFont="1" applyFill="1"/>
    <xf numFmtId="0" fontId="3" fillId="0" borderId="0" xfId="0" applyFont="1" applyAlignment="1">
      <alignment horizontal="right"/>
    </xf>
    <xf numFmtId="2" fontId="3" fillId="0" borderId="2" xfId="0" applyNumberFormat="1" applyFont="1" applyBorder="1"/>
    <xf numFmtId="0" fontId="3" fillId="0" borderId="2" xfId="0" applyFont="1" applyBorder="1" applyAlignment="1">
      <alignment horizontal="right"/>
    </xf>
    <xf numFmtId="2" fontId="5" fillId="4" borderId="0" xfId="0" applyNumberFormat="1" applyFont="1" applyFill="1" applyBorder="1"/>
    <xf numFmtId="1" fontId="6" fillId="4" borderId="0" xfId="0" applyNumberFormat="1" applyFont="1" applyFill="1" applyBorder="1"/>
    <xf numFmtId="2" fontId="9" fillId="4" borderId="0" xfId="0" applyNumberFormat="1" applyFont="1" applyFill="1" applyBorder="1"/>
    <xf numFmtId="2" fontId="4" fillId="0" borderId="13" xfId="0" applyNumberFormat="1" applyFont="1" applyBorder="1" applyAlignment="1"/>
    <xf numFmtId="2" fontId="4" fillId="0" borderId="7" xfId="0" applyNumberFormat="1" applyFont="1" applyBorder="1" applyAlignment="1"/>
    <xf numFmtId="0" fontId="4" fillId="0" borderId="9" xfId="0" applyFont="1" applyBorder="1"/>
    <xf numFmtId="0" fontId="5" fillId="0" borderId="14" xfId="0" applyFont="1" applyBorder="1" applyAlignment="1"/>
    <xf numFmtId="0" fontId="4" fillId="3" borderId="13" xfId="0" applyFont="1" applyFill="1" applyBorder="1"/>
    <xf numFmtId="0" fontId="4" fillId="3" borderId="15" xfId="0" applyFont="1" applyFill="1" applyBorder="1"/>
    <xf numFmtId="49" fontId="5" fillId="4" borderId="0" xfId="0" applyNumberFormat="1" applyFont="1" applyFill="1" applyAlignment="1">
      <alignment wrapText="1"/>
    </xf>
    <xf numFmtId="0" fontId="0" fillId="4" borderId="0" xfId="0" applyFill="1"/>
    <xf numFmtId="0" fontId="8" fillId="5" borderId="2" xfId="0" applyFont="1" applyFill="1" applyBorder="1" applyAlignment="1">
      <alignment wrapText="1"/>
    </xf>
    <xf numFmtId="0" fontId="8" fillId="0" borderId="0" xfId="0" applyFont="1" applyFill="1" applyBorder="1" applyAlignment="1"/>
    <xf numFmtId="0" fontId="0" fillId="0" borderId="0" xfId="0" applyFill="1" applyBorder="1"/>
    <xf numFmtId="0" fontId="3" fillId="4" borderId="16" xfId="0" applyFont="1" applyFill="1" applyBorder="1"/>
    <xf numFmtId="0" fontId="2" fillId="4" borderId="16" xfId="0" applyFont="1" applyFill="1" applyBorder="1" applyAlignment="1">
      <alignment horizontal="right"/>
    </xf>
    <xf numFmtId="0" fontId="3" fillId="4" borderId="1" xfId="0" applyFont="1" applyFill="1" applyBorder="1"/>
    <xf numFmtId="0" fontId="3" fillId="4" borderId="17" xfId="0" applyFont="1" applyFill="1" applyBorder="1"/>
    <xf numFmtId="0" fontId="2" fillId="4" borderId="17" xfId="0" applyFont="1" applyFill="1" applyBorder="1" applyAlignment="1">
      <alignment horizontal="right"/>
    </xf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/>
    <xf numFmtId="2" fontId="4" fillId="3" borderId="2" xfId="0" applyNumberFormat="1" applyFont="1" applyFill="1" applyBorder="1" applyAlignment="1"/>
    <xf numFmtId="0" fontId="5" fillId="4" borderId="0" xfId="0" applyFont="1" applyFill="1" applyBorder="1"/>
    <xf numFmtId="166" fontId="0" fillId="4" borderId="0" xfId="0" applyNumberFormat="1" applyFill="1"/>
    <xf numFmtId="49" fontId="5" fillId="4" borderId="0" xfId="0" applyNumberFormat="1" applyFont="1" applyFill="1" applyAlignment="1">
      <alignment horizontal="left" wrapText="1"/>
    </xf>
    <xf numFmtId="0" fontId="8" fillId="0" borderId="0" xfId="0" applyFont="1" applyAlignment="1"/>
    <xf numFmtId="2" fontId="3" fillId="2" borderId="2" xfId="0" applyNumberFormat="1" applyFont="1" applyFill="1" applyBorder="1"/>
    <xf numFmtId="2" fontId="4" fillId="6" borderId="22" xfId="0" applyNumberFormat="1" applyFont="1" applyFill="1" applyBorder="1" applyAlignment="1">
      <alignment horizontal="right"/>
    </xf>
    <xf numFmtId="2" fontId="7" fillId="6" borderId="22" xfId="0" applyNumberFormat="1" applyFont="1" applyFill="1" applyBorder="1"/>
    <xf numFmtId="2" fontId="4" fillId="7" borderId="2" xfId="0" applyNumberFormat="1" applyFont="1" applyFill="1" applyBorder="1" applyAlignment="1">
      <alignment horizontal="right"/>
    </xf>
    <xf numFmtId="2" fontId="5" fillId="7" borderId="2" xfId="0" applyNumberFormat="1" applyFont="1" applyFill="1" applyBorder="1"/>
    <xf numFmtId="2" fontId="4" fillId="8" borderId="2" xfId="0" applyNumberFormat="1" applyFont="1" applyFill="1" applyBorder="1" applyAlignment="1">
      <alignment horizontal="right"/>
    </xf>
    <xf numFmtId="2" fontId="5" fillId="8" borderId="2" xfId="0" applyNumberFormat="1" applyFont="1" applyFill="1" applyBorder="1"/>
    <xf numFmtId="2" fontId="3" fillId="0" borderId="22" xfId="0" applyNumberFormat="1" applyFont="1" applyBorder="1"/>
    <xf numFmtId="2" fontId="3" fillId="0" borderId="3" xfId="0" applyNumberFormat="1" applyFont="1" applyBorder="1"/>
    <xf numFmtId="0" fontId="3" fillId="0" borderId="7" xfId="0" applyFont="1" applyBorder="1" applyAlignment="1">
      <alignment horizontal="center"/>
    </xf>
    <xf numFmtId="2" fontId="3" fillId="0" borderId="13" xfId="0" applyNumberFormat="1" applyFont="1" applyBorder="1"/>
    <xf numFmtId="2" fontId="3" fillId="0" borderId="8" xfId="0" applyNumberFormat="1" applyFont="1" applyBorder="1"/>
    <xf numFmtId="2" fontId="3" fillId="0" borderId="15" xfId="0" applyNumberFormat="1" applyFont="1" applyBorder="1"/>
    <xf numFmtId="2" fontId="4" fillId="2" borderId="23" xfId="0" applyNumberFormat="1" applyFont="1" applyFill="1" applyBorder="1"/>
    <xf numFmtId="2" fontId="9" fillId="9" borderId="24" xfId="0" applyNumberFormat="1" applyFont="1" applyFill="1" applyBorder="1"/>
    <xf numFmtId="2" fontId="9" fillId="10" borderId="25" xfId="0" applyNumberFormat="1" applyFont="1" applyFill="1" applyBorder="1"/>
    <xf numFmtId="2" fontId="9" fillId="11" borderId="25" xfId="0" applyNumberFormat="1" applyFont="1" applyFill="1" applyBorder="1"/>
    <xf numFmtId="2" fontId="4" fillId="12" borderId="11" xfId="0" applyNumberFormat="1" applyFont="1" applyFill="1" applyBorder="1"/>
    <xf numFmtId="2" fontId="4" fillId="12" borderId="22" xfId="0" applyNumberFormat="1" applyFont="1" applyFill="1" applyBorder="1" applyAlignment="1">
      <alignment horizontal="right"/>
    </xf>
    <xf numFmtId="2" fontId="3" fillId="12" borderId="2" xfId="0" applyNumberFormat="1" applyFont="1" applyFill="1" applyBorder="1"/>
    <xf numFmtId="2" fontId="9" fillId="11" borderId="2" xfId="0" applyNumberFormat="1" applyFont="1" applyFill="1" applyBorder="1" applyAlignment="1">
      <alignment horizontal="right"/>
    </xf>
    <xf numFmtId="2" fontId="9" fillId="10" borderId="2" xfId="0" applyNumberFormat="1" applyFont="1" applyFill="1" applyBorder="1" applyAlignment="1">
      <alignment horizontal="right"/>
    </xf>
    <xf numFmtId="2" fontId="9" fillId="9" borderId="2" xfId="0" applyNumberFormat="1" applyFont="1" applyFill="1" applyBorder="1" applyAlignment="1">
      <alignment horizontal="right"/>
    </xf>
    <xf numFmtId="2" fontId="16" fillId="11" borderId="2" xfId="0" applyNumberFormat="1" applyFont="1" applyFill="1" applyBorder="1"/>
    <xf numFmtId="2" fontId="16" fillId="10" borderId="2" xfId="0" applyNumberFormat="1" applyFont="1" applyFill="1" applyBorder="1"/>
    <xf numFmtId="2" fontId="16" fillId="9" borderId="2" xfId="0" applyNumberFormat="1" applyFont="1" applyFill="1" applyBorder="1"/>
    <xf numFmtId="2" fontId="9" fillId="13" borderId="2" xfId="0" applyNumberFormat="1" applyFont="1" applyFill="1" applyBorder="1" applyAlignment="1">
      <alignment horizontal="right"/>
    </xf>
    <xf numFmtId="2" fontId="16" fillId="13" borderId="2" xfId="0" applyNumberFormat="1" applyFont="1" applyFill="1" applyBorder="1"/>
    <xf numFmtId="0" fontId="3" fillId="0" borderId="13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8" fillId="5" borderId="2" xfId="0" applyFont="1" applyFill="1" applyBorder="1" applyAlignment="1">
      <alignment vertical="top" wrapText="1"/>
    </xf>
    <xf numFmtId="2" fontId="9" fillId="10" borderId="10" xfId="0" applyNumberFormat="1" applyFont="1" applyFill="1" applyBorder="1"/>
    <xf numFmtId="2" fontId="9" fillId="9" borderId="26" xfId="0" applyNumberFormat="1" applyFont="1" applyFill="1" applyBorder="1"/>
    <xf numFmtId="2" fontId="9" fillId="11" borderId="10" xfId="0" applyNumberFormat="1" applyFont="1" applyFill="1" applyBorder="1"/>
    <xf numFmtId="2" fontId="9" fillId="8" borderId="27" xfId="0" applyNumberFormat="1" applyFont="1" applyFill="1" applyBorder="1"/>
    <xf numFmtId="0" fontId="2" fillId="8" borderId="2" xfId="0" applyFont="1" applyFill="1" applyBorder="1" applyAlignment="1">
      <alignment horizontal="right"/>
    </xf>
    <xf numFmtId="2" fontId="5" fillId="4" borderId="28" xfId="0" applyNumberFormat="1" applyFont="1" applyFill="1" applyBorder="1"/>
    <xf numFmtId="2" fontId="3" fillId="0" borderId="29" xfId="0" applyNumberFormat="1" applyFont="1" applyBorder="1"/>
    <xf numFmtId="2" fontId="3" fillId="0" borderId="30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2" fontId="3" fillId="0" borderId="0" xfId="0" applyNumberFormat="1" applyFont="1" applyFill="1"/>
    <xf numFmtId="0" fontId="3" fillId="0" borderId="0" xfId="0" applyFont="1" applyFill="1"/>
    <xf numFmtId="0" fontId="3" fillId="0" borderId="22" xfId="0" applyFont="1" applyBorder="1" applyAlignment="1">
      <alignment horizontal="right"/>
    </xf>
    <xf numFmtId="2" fontId="3" fillId="0" borderId="2" xfId="0" applyNumberFormat="1" applyFont="1" applyFill="1" applyBorder="1"/>
    <xf numFmtId="0" fontId="3" fillId="0" borderId="2" xfId="0" applyFont="1" applyFill="1" applyBorder="1"/>
    <xf numFmtId="2" fontId="3" fillId="0" borderId="13" xfId="0" applyNumberFormat="1" applyFont="1" applyFill="1" applyBorder="1"/>
    <xf numFmtId="2" fontId="3" fillId="0" borderId="8" xfId="0" applyNumberFormat="1" applyFont="1" applyFill="1" applyBorder="1"/>
    <xf numFmtId="0" fontId="3" fillId="0" borderId="22" xfId="0" applyFont="1" applyFill="1" applyBorder="1" applyAlignment="1">
      <alignment horizontal="right"/>
    </xf>
    <xf numFmtId="2" fontId="3" fillId="0" borderId="13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2" fontId="3" fillId="0" borderId="8" xfId="0" applyNumberFormat="1" applyFont="1" applyFill="1" applyBorder="1" applyAlignment="1">
      <alignment horizontal="center"/>
    </xf>
    <xf numFmtId="2" fontId="3" fillId="0" borderId="7" xfId="0" applyNumberFormat="1" applyFont="1" applyFill="1" applyBorder="1" applyAlignment="1">
      <alignment horizontal="center"/>
    </xf>
    <xf numFmtId="2" fontId="3" fillId="0" borderId="22" xfId="0" applyNumberFormat="1" applyFont="1" applyFill="1" applyBorder="1" applyAlignment="1">
      <alignment horizontal="center"/>
    </xf>
    <xf numFmtId="2" fontId="3" fillId="0" borderId="29" xfId="0" applyNumberFormat="1" applyFont="1" applyFill="1" applyBorder="1" applyAlignment="1">
      <alignment horizontal="center"/>
    </xf>
    <xf numFmtId="2" fontId="3" fillId="0" borderId="30" xfId="0" applyNumberFormat="1" applyFont="1" applyFill="1" applyBorder="1" applyAlignment="1">
      <alignment horizontal="center"/>
    </xf>
    <xf numFmtId="0" fontId="3" fillId="0" borderId="22" xfId="0" applyFont="1" applyFill="1" applyBorder="1"/>
    <xf numFmtId="2" fontId="3" fillId="0" borderId="7" xfId="0" applyNumberFormat="1" applyFont="1" applyFill="1" applyBorder="1"/>
    <xf numFmtId="2" fontId="3" fillId="0" borderId="22" xfId="0" applyNumberFormat="1" applyFont="1" applyFill="1" applyBorder="1"/>
    <xf numFmtId="2" fontId="3" fillId="0" borderId="30" xfId="0" applyNumberFormat="1" applyFont="1" applyFill="1" applyBorder="1"/>
    <xf numFmtId="2" fontId="3" fillId="0" borderId="29" xfId="0" applyNumberFormat="1" applyFont="1" applyFill="1" applyBorder="1"/>
    <xf numFmtId="2" fontId="3" fillId="0" borderId="3" xfId="0" applyNumberFormat="1" applyFont="1" applyFill="1" applyBorder="1" applyAlignment="1">
      <alignment horizontal="center"/>
    </xf>
    <xf numFmtId="2" fontId="3" fillId="0" borderId="3" xfId="0" applyNumberFormat="1" applyFont="1" applyFill="1" applyBorder="1"/>
    <xf numFmtId="0" fontId="3" fillId="0" borderId="3" xfId="0" applyFont="1" applyBorder="1" applyAlignment="1">
      <alignment horizontal="center"/>
    </xf>
    <xf numFmtId="2" fontId="9" fillId="13" borderId="10" xfId="0" applyNumberFormat="1" applyFont="1" applyFill="1" applyBorder="1"/>
    <xf numFmtId="2" fontId="9" fillId="6" borderId="10" xfId="0" applyNumberFormat="1" applyFont="1" applyFill="1" applyBorder="1"/>
    <xf numFmtId="2" fontId="4" fillId="0" borderId="31" xfId="0" applyNumberFormat="1" applyFont="1" applyBorder="1" applyAlignment="1"/>
    <xf numFmtId="0" fontId="4" fillId="0" borderId="32" xfId="0" applyFont="1" applyBorder="1"/>
    <xf numFmtId="165" fontId="0" fillId="0" borderId="0" xfId="0" applyNumberFormat="1" applyFill="1" applyBorder="1"/>
    <xf numFmtId="165" fontId="3" fillId="4" borderId="0" xfId="0" applyNumberFormat="1" applyFont="1" applyFill="1"/>
    <xf numFmtId="2" fontId="5" fillId="4" borderId="0" xfId="0" applyNumberFormat="1" applyFont="1" applyFill="1" applyProtection="1">
      <protection locked="0"/>
    </xf>
    <xf numFmtId="0" fontId="5" fillId="11" borderId="33" xfId="0" applyFont="1" applyFill="1" applyBorder="1"/>
    <xf numFmtId="2" fontId="5" fillId="10" borderId="33" xfId="0" applyNumberFormat="1" applyFont="1" applyFill="1" applyBorder="1"/>
    <xf numFmtId="2" fontId="5" fillId="9" borderId="33" xfId="0" applyNumberFormat="1" applyFont="1" applyFill="1" applyBorder="1"/>
    <xf numFmtId="2" fontId="9" fillId="11" borderId="34" xfId="0" applyNumberFormat="1" applyFont="1" applyFill="1" applyBorder="1"/>
    <xf numFmtId="2" fontId="9" fillId="10" borderId="34" xfId="0" applyNumberFormat="1" applyFont="1" applyFill="1" applyBorder="1"/>
    <xf numFmtId="2" fontId="9" fillId="9" borderId="34" xfId="0" applyNumberFormat="1" applyFont="1" applyFill="1" applyBorder="1"/>
    <xf numFmtId="2" fontId="5" fillId="7" borderId="33" xfId="0" applyNumberFormat="1" applyFont="1" applyFill="1" applyBorder="1"/>
    <xf numFmtId="2" fontId="5" fillId="13" borderId="33" xfId="0" applyNumberFormat="1" applyFont="1" applyFill="1" applyBorder="1"/>
    <xf numFmtId="2" fontId="5" fillId="6" borderId="33" xfId="0" applyNumberFormat="1" applyFont="1" applyFill="1" applyBorder="1"/>
    <xf numFmtId="2" fontId="5" fillId="2" borderId="35" xfId="0" applyNumberFormat="1" applyFont="1" applyFill="1" applyBorder="1"/>
    <xf numFmtId="2" fontId="5" fillId="12" borderId="36" xfId="0" applyNumberFormat="1" applyFont="1" applyFill="1" applyBorder="1"/>
    <xf numFmtId="2" fontId="9" fillId="7" borderId="37" xfId="0" applyNumberFormat="1" applyFont="1" applyFill="1" applyBorder="1"/>
    <xf numFmtId="2" fontId="9" fillId="13" borderId="34" xfId="0" applyNumberFormat="1" applyFont="1" applyFill="1" applyBorder="1"/>
    <xf numFmtId="2" fontId="9" fillId="6" borderId="34" xfId="0" applyNumberFormat="1" applyFont="1" applyFill="1" applyBorder="1"/>
    <xf numFmtId="2" fontId="4" fillId="2" borderId="38" xfId="0" applyNumberFormat="1" applyFont="1" applyFill="1" applyBorder="1"/>
    <xf numFmtId="2" fontId="4" fillId="12" borderId="27" xfId="0" applyNumberFormat="1" applyFont="1" applyFill="1" applyBorder="1"/>
    <xf numFmtId="2" fontId="5" fillId="0" borderId="33" xfId="0" applyNumberFormat="1" applyFont="1" applyBorder="1" applyAlignment="1">
      <alignment horizontal="right"/>
    </xf>
    <xf numFmtId="2" fontId="4" fillId="0" borderId="37" xfId="0" applyNumberFormat="1" applyFont="1" applyBorder="1" applyAlignment="1">
      <alignment horizontal="right"/>
    </xf>
    <xf numFmtId="0" fontId="6" fillId="11" borderId="90" xfId="0" applyFont="1" applyFill="1" applyBorder="1" applyProtection="1">
      <protection locked="0"/>
    </xf>
    <xf numFmtId="0" fontId="6" fillId="11" borderId="91" xfId="0" applyFont="1" applyFill="1" applyBorder="1" applyProtection="1">
      <protection locked="0"/>
    </xf>
    <xf numFmtId="0" fontId="6" fillId="10" borderId="91" xfId="0" applyFont="1" applyFill="1" applyBorder="1" applyProtection="1">
      <protection locked="0"/>
    </xf>
    <xf numFmtId="0" fontId="6" fillId="9" borderId="91" xfId="0" applyFont="1" applyFill="1" applyBorder="1" applyProtection="1">
      <protection locked="0"/>
    </xf>
    <xf numFmtId="1" fontId="6" fillId="13" borderId="91" xfId="0" applyNumberFormat="1" applyFont="1" applyFill="1" applyBorder="1" applyProtection="1">
      <protection locked="0"/>
    </xf>
    <xf numFmtId="1" fontId="6" fillId="6" borderId="91" xfId="0" applyNumberFormat="1" applyFont="1" applyFill="1" applyBorder="1" applyProtection="1">
      <protection locked="0"/>
    </xf>
    <xf numFmtId="1" fontId="6" fillId="2" borderId="91" xfId="0" applyNumberFormat="1" applyFont="1" applyFill="1" applyBorder="1" applyProtection="1">
      <protection locked="0"/>
    </xf>
    <xf numFmtId="1" fontId="6" fillId="12" borderId="92" xfId="0" applyNumberFormat="1" applyFont="1" applyFill="1" applyBorder="1" applyProtection="1">
      <protection locked="0"/>
    </xf>
    <xf numFmtId="0" fontId="6" fillId="11" borderId="93" xfId="0" applyFont="1" applyFill="1" applyBorder="1" applyProtection="1">
      <protection locked="0"/>
    </xf>
    <xf numFmtId="0" fontId="6" fillId="11" borderId="94" xfId="0" applyFont="1" applyFill="1" applyBorder="1" applyProtection="1">
      <protection locked="0"/>
    </xf>
    <xf numFmtId="0" fontId="6" fillId="10" borderId="94" xfId="0" applyFont="1" applyFill="1" applyBorder="1" applyProtection="1">
      <protection locked="0"/>
    </xf>
    <xf numFmtId="0" fontId="6" fillId="9" borderId="94" xfId="0" applyFont="1" applyFill="1" applyBorder="1" applyProtection="1">
      <protection locked="0"/>
    </xf>
    <xf numFmtId="1" fontId="6" fillId="13" borderId="94" xfId="0" applyNumberFormat="1" applyFont="1" applyFill="1" applyBorder="1" applyProtection="1">
      <protection locked="0"/>
    </xf>
    <xf numFmtId="1" fontId="6" fillId="6" borderId="94" xfId="0" applyNumberFormat="1" applyFont="1" applyFill="1" applyBorder="1" applyProtection="1">
      <protection locked="0"/>
    </xf>
    <xf numFmtId="1" fontId="6" fillId="2" borderId="94" xfId="0" applyNumberFormat="1" applyFont="1" applyFill="1" applyBorder="1" applyProtection="1">
      <protection locked="0"/>
    </xf>
    <xf numFmtId="1" fontId="6" fillId="12" borderId="95" xfId="0" applyNumberFormat="1" applyFont="1" applyFill="1" applyBorder="1" applyProtection="1">
      <protection locked="0"/>
    </xf>
    <xf numFmtId="0" fontId="17" fillId="7" borderId="96" xfId="0" applyFont="1" applyFill="1" applyBorder="1" applyProtection="1">
      <protection locked="0"/>
    </xf>
    <xf numFmtId="0" fontId="17" fillId="7" borderId="97" xfId="0" applyFont="1" applyFill="1" applyBorder="1" applyProtection="1">
      <protection locked="0"/>
    </xf>
    <xf numFmtId="2" fontId="5" fillId="0" borderId="98" xfId="0" applyNumberFormat="1" applyFont="1" applyBorder="1" applyAlignment="1">
      <alignment horizontal="right"/>
    </xf>
    <xf numFmtId="165" fontId="5" fillId="0" borderId="98" xfId="0" applyNumberFormat="1" applyFont="1" applyBorder="1" applyAlignment="1">
      <alignment horizontal="right"/>
    </xf>
    <xf numFmtId="0" fontId="2" fillId="4" borderId="99" xfId="0" applyFont="1" applyFill="1" applyBorder="1" applyProtection="1">
      <protection locked="0"/>
    </xf>
    <xf numFmtId="2" fontId="9" fillId="11" borderId="39" xfId="0" applyNumberFormat="1" applyFont="1" applyFill="1" applyBorder="1"/>
    <xf numFmtId="2" fontId="9" fillId="10" borderId="39" xfId="0" applyNumberFormat="1" applyFont="1" applyFill="1" applyBorder="1"/>
    <xf numFmtId="2" fontId="9" fillId="9" borderId="40" xfId="0" applyNumberFormat="1" applyFont="1" applyFill="1" applyBorder="1"/>
    <xf numFmtId="2" fontId="9" fillId="13" borderId="39" xfId="0" applyNumberFormat="1" applyFont="1" applyFill="1" applyBorder="1"/>
    <xf numFmtId="2" fontId="9" fillId="6" borderId="39" xfId="0" applyNumberFormat="1" applyFont="1" applyFill="1" applyBorder="1"/>
    <xf numFmtId="2" fontId="4" fillId="2" borderId="41" xfId="0" applyNumberFormat="1" applyFont="1" applyFill="1" applyBorder="1"/>
    <xf numFmtId="2" fontId="4" fillId="12" borderId="42" xfId="0" applyNumberFormat="1" applyFont="1" applyFill="1" applyBorder="1"/>
    <xf numFmtId="2" fontId="9" fillId="13" borderId="37" xfId="0" applyNumberFormat="1" applyFont="1" applyFill="1" applyBorder="1"/>
    <xf numFmtId="2" fontId="9" fillId="6" borderId="37" xfId="0" applyNumberFormat="1" applyFont="1" applyFill="1" applyBorder="1"/>
    <xf numFmtId="2" fontId="4" fillId="2" borderId="43" xfId="0" applyNumberFormat="1" applyFont="1" applyFill="1" applyBorder="1"/>
    <xf numFmtId="2" fontId="4" fillId="12" borderId="44" xfId="0" applyNumberFormat="1" applyFont="1" applyFill="1" applyBorder="1"/>
    <xf numFmtId="2" fontId="9" fillId="13" borderId="25" xfId="0" applyNumberFormat="1" applyFont="1" applyFill="1" applyBorder="1"/>
    <xf numFmtId="2" fontId="9" fillId="6" borderId="25" xfId="0" applyNumberFormat="1" applyFont="1" applyFill="1" applyBorder="1"/>
    <xf numFmtId="2" fontId="4" fillId="2" borderId="45" xfId="0" applyNumberFormat="1" applyFont="1" applyFill="1" applyBorder="1"/>
    <xf numFmtId="2" fontId="4" fillId="12" borderId="46" xfId="0" applyNumberFormat="1" applyFont="1" applyFill="1" applyBorder="1"/>
    <xf numFmtId="0" fontId="1" fillId="4" borderId="0" xfId="0" applyFont="1" applyFill="1"/>
    <xf numFmtId="0" fontId="4" fillId="0" borderId="22" xfId="0" applyFont="1" applyFill="1" applyBorder="1"/>
    <xf numFmtId="0" fontId="1" fillId="18" borderId="2" xfId="0" applyFont="1" applyFill="1" applyBorder="1"/>
    <xf numFmtId="0" fontId="1" fillId="19" borderId="2" xfId="0" applyFont="1" applyFill="1" applyBorder="1"/>
    <xf numFmtId="1" fontId="4" fillId="4" borderId="2" xfId="0" applyNumberFormat="1" applyFont="1" applyFill="1" applyBorder="1"/>
    <xf numFmtId="2" fontId="4" fillId="4" borderId="2" xfId="0" applyNumberFormat="1" applyFont="1" applyFill="1" applyBorder="1"/>
    <xf numFmtId="0" fontId="4" fillId="4" borderId="2" xfId="0" applyFont="1" applyFill="1" applyBorder="1"/>
    <xf numFmtId="2" fontId="5" fillId="4" borderId="0" xfId="2" applyNumberFormat="1" applyFont="1" applyFill="1"/>
    <xf numFmtId="0" fontId="1" fillId="0" borderId="0" xfId="2"/>
    <xf numFmtId="0" fontId="5" fillId="4" borderId="0" xfId="2" applyFont="1" applyFill="1"/>
    <xf numFmtId="0" fontId="19" fillId="0" borderId="0" xfId="0" applyFont="1"/>
    <xf numFmtId="2" fontId="19" fillId="0" borderId="0" xfId="0" applyNumberFormat="1" applyFont="1"/>
    <xf numFmtId="0" fontId="20" fillId="0" borderId="0" xfId="0" applyFont="1"/>
    <xf numFmtId="1" fontId="19" fillId="0" borderId="0" xfId="0" applyNumberFormat="1" applyFont="1"/>
    <xf numFmtId="166" fontId="3" fillId="0" borderId="0" xfId="0" applyNumberFormat="1" applyFont="1" applyAlignment="1">
      <alignment horizontal="right"/>
    </xf>
    <xf numFmtId="0" fontId="18" fillId="0" borderId="0" xfId="3"/>
    <xf numFmtId="0" fontId="0" fillId="19" borderId="0" xfId="0" applyFill="1" applyBorder="1"/>
    <xf numFmtId="165" fontId="0" fillId="19" borderId="0" xfId="0" applyNumberFormat="1" applyFill="1" applyBorder="1"/>
    <xf numFmtId="0" fontId="18" fillId="19" borderId="0" xfId="3" applyFill="1"/>
    <xf numFmtId="0" fontId="1" fillId="19" borderId="0" xfId="2" applyFill="1"/>
    <xf numFmtId="0" fontId="19" fillId="0" borderId="2" xfId="0" applyFont="1" applyBorder="1"/>
    <xf numFmtId="2" fontId="19" fillId="11" borderId="2" xfId="0" applyNumberFormat="1" applyFont="1" applyFill="1" applyBorder="1"/>
    <xf numFmtId="2" fontId="19" fillId="10" borderId="2" xfId="0" applyNumberFormat="1" applyFont="1" applyFill="1" applyBorder="1"/>
    <xf numFmtId="2" fontId="19" fillId="9" borderId="2" xfId="0" applyNumberFormat="1" applyFont="1" applyFill="1" applyBorder="1"/>
    <xf numFmtId="2" fontId="19" fillId="0" borderId="3" xfId="0" applyNumberFormat="1" applyFont="1" applyBorder="1"/>
    <xf numFmtId="2" fontId="19" fillId="0" borderId="2" xfId="0" applyNumberFormat="1" applyFont="1" applyBorder="1"/>
    <xf numFmtId="2" fontId="19" fillId="7" borderId="2" xfId="0" applyNumberFormat="1" applyFont="1" applyFill="1" applyBorder="1"/>
    <xf numFmtId="2" fontId="19" fillId="8" borderId="2" xfId="0" applyNumberFormat="1" applyFont="1" applyFill="1" applyBorder="1"/>
    <xf numFmtId="2" fontId="19" fillId="13" borderId="2" xfId="0" applyNumberFormat="1" applyFont="1" applyFill="1" applyBorder="1"/>
    <xf numFmtId="2" fontId="19" fillId="6" borderId="22" xfId="0" applyNumberFormat="1" applyFont="1" applyFill="1" applyBorder="1"/>
    <xf numFmtId="2" fontId="21" fillId="2" borderId="2" xfId="0" applyNumberFormat="1" applyFont="1" applyFill="1" applyBorder="1"/>
    <xf numFmtId="2" fontId="21" fillId="12" borderId="2" xfId="0" applyNumberFormat="1" applyFont="1" applyFill="1" applyBorder="1"/>
    <xf numFmtId="0" fontId="3" fillId="19" borderId="2" xfId="0" applyFont="1" applyFill="1" applyBorder="1"/>
    <xf numFmtId="2" fontId="3" fillId="19" borderId="13" xfId="0" applyNumberFormat="1" applyFont="1" applyFill="1" applyBorder="1"/>
    <xf numFmtId="2" fontId="3" fillId="19" borderId="2" xfId="0" applyNumberFormat="1" applyFont="1" applyFill="1" applyBorder="1"/>
    <xf numFmtId="2" fontId="3" fillId="19" borderId="8" xfId="0" applyNumberFormat="1" applyFont="1" applyFill="1" applyBorder="1"/>
    <xf numFmtId="2" fontId="3" fillId="19" borderId="7" xfId="0" applyNumberFormat="1" applyFont="1" applyFill="1" applyBorder="1"/>
    <xf numFmtId="2" fontId="3" fillId="19" borderId="22" xfId="0" applyNumberFormat="1" applyFont="1" applyFill="1" applyBorder="1"/>
    <xf numFmtId="2" fontId="3" fillId="19" borderId="29" xfId="0" applyNumberFormat="1" applyFont="1" applyFill="1" applyBorder="1"/>
    <xf numFmtId="2" fontId="3" fillId="19" borderId="30" xfId="0" applyNumberFormat="1" applyFont="1" applyFill="1" applyBorder="1"/>
    <xf numFmtId="2" fontId="3" fillId="19" borderId="3" xfId="0" applyNumberFormat="1" applyFont="1" applyFill="1" applyBorder="1"/>
    <xf numFmtId="0" fontId="3" fillId="19" borderId="0" xfId="0" applyFont="1" applyFill="1"/>
    <xf numFmtId="2" fontId="3" fillId="19" borderId="15" xfId="0" applyNumberFormat="1" applyFont="1" applyFill="1" applyBorder="1"/>
    <xf numFmtId="2" fontId="3" fillId="19" borderId="10" xfId="0" applyNumberFormat="1" applyFont="1" applyFill="1" applyBorder="1"/>
    <xf numFmtId="2" fontId="3" fillId="19" borderId="11" xfId="0" applyNumberFormat="1" applyFont="1" applyFill="1" applyBorder="1"/>
    <xf numFmtId="0" fontId="15" fillId="14" borderId="47" xfId="1" applyFont="1" applyFill="1" applyBorder="1" applyAlignment="1" applyProtection="1">
      <alignment horizontal="center" vertical="center"/>
    </xf>
    <xf numFmtId="0" fontId="15" fillId="14" borderId="48" xfId="1" applyFont="1" applyFill="1" applyBorder="1" applyAlignment="1" applyProtection="1">
      <alignment horizontal="center" vertical="center"/>
    </xf>
    <xf numFmtId="0" fontId="15" fillId="14" borderId="49" xfId="1" applyFont="1" applyFill="1" applyBorder="1" applyAlignment="1" applyProtection="1">
      <alignment horizontal="center" vertical="center"/>
    </xf>
    <xf numFmtId="0" fontId="15" fillId="14" borderId="50" xfId="1" applyFont="1" applyFill="1" applyBorder="1" applyAlignment="1" applyProtection="1">
      <alignment horizontal="center" vertical="center"/>
    </xf>
    <xf numFmtId="0" fontId="15" fillId="14" borderId="0" xfId="1" applyFont="1" applyFill="1" applyBorder="1" applyAlignment="1" applyProtection="1">
      <alignment horizontal="center" vertical="center"/>
    </xf>
    <xf numFmtId="0" fontId="15" fillId="14" borderId="51" xfId="1" applyFont="1" applyFill="1" applyBorder="1" applyAlignment="1" applyProtection="1">
      <alignment horizontal="center" vertical="center"/>
    </xf>
    <xf numFmtId="0" fontId="15" fillId="14" borderId="52" xfId="1" applyFont="1" applyFill="1" applyBorder="1" applyAlignment="1" applyProtection="1">
      <alignment horizontal="center" vertical="center"/>
    </xf>
    <xf numFmtId="0" fontId="15" fillId="14" borderId="53" xfId="1" applyFont="1" applyFill="1" applyBorder="1" applyAlignment="1" applyProtection="1">
      <alignment horizontal="center" vertical="center"/>
    </xf>
    <xf numFmtId="0" fontId="15" fillId="14" borderId="54" xfId="1" applyFont="1" applyFill="1" applyBorder="1" applyAlignment="1" applyProtection="1">
      <alignment horizontal="center" vertical="center"/>
    </xf>
    <xf numFmtId="0" fontId="14" fillId="3" borderId="55" xfId="1" applyFont="1" applyFill="1" applyBorder="1" applyAlignment="1" applyProtection="1">
      <alignment horizontal="center" vertical="center" wrapText="1"/>
    </xf>
    <xf numFmtId="0" fontId="14" fillId="3" borderId="56" xfId="1" applyFont="1" applyFill="1" applyBorder="1" applyAlignment="1" applyProtection="1">
      <alignment horizontal="center" vertical="center" wrapText="1"/>
    </xf>
    <xf numFmtId="0" fontId="14" fillId="3" borderId="57" xfId="1" applyFont="1" applyFill="1" applyBorder="1" applyAlignment="1" applyProtection="1">
      <alignment horizontal="center" vertical="center" wrapText="1"/>
    </xf>
    <xf numFmtId="0" fontId="14" fillId="3" borderId="58" xfId="1" applyFont="1" applyFill="1" applyBorder="1" applyAlignment="1" applyProtection="1">
      <alignment horizontal="center" vertical="center" wrapText="1"/>
    </xf>
    <xf numFmtId="0" fontId="14" fillId="3" borderId="0" xfId="1" applyFont="1" applyFill="1" applyBorder="1" applyAlignment="1" applyProtection="1">
      <alignment horizontal="center" vertical="center" wrapText="1"/>
    </xf>
    <xf numFmtId="0" fontId="14" fillId="3" borderId="59" xfId="1" applyFont="1" applyFill="1" applyBorder="1" applyAlignment="1" applyProtection="1">
      <alignment horizontal="center" vertical="center" wrapText="1"/>
    </xf>
    <xf numFmtId="0" fontId="14" fillId="3" borderId="60" xfId="1" applyFont="1" applyFill="1" applyBorder="1" applyAlignment="1" applyProtection="1">
      <alignment horizontal="center" vertical="center" wrapText="1"/>
    </xf>
    <xf numFmtId="0" fontId="14" fillId="3" borderId="61" xfId="1" applyFont="1" applyFill="1" applyBorder="1" applyAlignment="1" applyProtection="1">
      <alignment horizontal="center" vertical="center" wrapText="1"/>
    </xf>
    <xf numFmtId="0" fontId="14" fillId="3" borderId="62" xfId="1" applyFont="1" applyFill="1" applyBorder="1" applyAlignment="1" applyProtection="1">
      <alignment horizontal="center" vertical="center" wrapText="1"/>
    </xf>
    <xf numFmtId="0" fontId="14" fillId="7" borderId="0" xfId="1" applyFont="1" applyFill="1" applyBorder="1" applyAlignment="1" applyProtection="1">
      <alignment horizontal="center" vertical="center" wrapText="1"/>
    </xf>
    <xf numFmtId="0" fontId="14" fillId="7" borderId="63" xfId="1" applyFont="1" applyFill="1" applyBorder="1" applyAlignment="1" applyProtection="1">
      <alignment horizontal="center" vertical="center" wrapText="1"/>
    </xf>
    <xf numFmtId="0" fontId="14" fillId="7" borderId="64" xfId="1" applyFont="1" applyFill="1" applyBorder="1" applyAlignment="1" applyProtection="1">
      <alignment horizontal="center" vertical="center" wrapText="1"/>
    </xf>
    <xf numFmtId="0" fontId="14" fillId="7" borderId="65" xfId="1" applyFont="1" applyFill="1" applyBorder="1" applyAlignment="1" applyProtection="1">
      <alignment horizontal="center" vertical="center" wrapText="1"/>
    </xf>
    <xf numFmtId="0" fontId="12" fillId="4" borderId="22" xfId="0" applyFont="1" applyFill="1" applyBorder="1" applyAlignment="1" applyProtection="1">
      <alignment horizontal="center" vertical="center"/>
      <protection locked="0"/>
    </xf>
    <xf numFmtId="0" fontId="12" fillId="4" borderId="3" xfId="0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14" fillId="15" borderId="66" xfId="1" applyFont="1" applyFill="1" applyBorder="1" applyAlignment="1" applyProtection="1">
      <alignment horizontal="center" vertical="center" wrapText="1"/>
    </xf>
    <xf numFmtId="0" fontId="14" fillId="15" borderId="67" xfId="1" applyFont="1" applyFill="1" applyBorder="1" applyAlignment="1" applyProtection="1">
      <alignment horizontal="center" vertical="center" wrapText="1"/>
    </xf>
    <xf numFmtId="0" fontId="14" fillId="15" borderId="68" xfId="1" applyFont="1" applyFill="1" applyBorder="1" applyAlignment="1" applyProtection="1">
      <alignment horizontal="center" vertical="center" wrapText="1"/>
    </xf>
    <xf numFmtId="0" fontId="14" fillId="15" borderId="69" xfId="1" applyFont="1" applyFill="1" applyBorder="1" applyAlignment="1" applyProtection="1">
      <alignment horizontal="center" vertical="center" wrapText="1"/>
    </xf>
    <xf numFmtId="0" fontId="14" fillId="15" borderId="70" xfId="1" applyFont="1" applyFill="1" applyBorder="1" applyAlignment="1" applyProtection="1">
      <alignment horizontal="center" vertical="center" wrapText="1"/>
    </xf>
    <xf numFmtId="0" fontId="14" fillId="15" borderId="71" xfId="1" applyFont="1" applyFill="1" applyBorder="1" applyAlignment="1" applyProtection="1">
      <alignment horizontal="center" vertical="center" wrapText="1"/>
    </xf>
    <xf numFmtId="49" fontId="5" fillId="4" borderId="0" xfId="0" applyNumberFormat="1" applyFont="1" applyFill="1" applyAlignment="1">
      <alignment horizontal="left" wrapText="1"/>
    </xf>
    <xf numFmtId="0" fontId="5" fillId="4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4" fillId="4" borderId="0" xfId="0" applyFont="1" applyFill="1" applyBorder="1" applyAlignment="1">
      <alignment horizontal="right"/>
    </xf>
    <xf numFmtId="0" fontId="2" fillId="3" borderId="24" xfId="0" applyFont="1" applyFill="1" applyBorder="1" applyAlignment="1">
      <alignment horizontal="center" vertical="center" textRotation="90"/>
    </xf>
    <xf numFmtId="0" fontId="2" fillId="3" borderId="40" xfId="0" applyFont="1" applyFill="1" applyBorder="1" applyAlignment="1">
      <alignment horizontal="center" vertical="center" textRotation="90"/>
    </xf>
    <xf numFmtId="0" fontId="2" fillId="3" borderId="72" xfId="0" applyFont="1" applyFill="1" applyBorder="1" applyAlignment="1">
      <alignment horizontal="center" vertical="center" textRotation="90"/>
    </xf>
    <xf numFmtId="0" fontId="2" fillId="16" borderId="24" xfId="0" applyFont="1" applyFill="1" applyBorder="1" applyAlignment="1">
      <alignment horizontal="center" vertical="center" textRotation="90"/>
    </xf>
    <xf numFmtId="0" fontId="2" fillId="16" borderId="40" xfId="0" applyFont="1" applyFill="1" applyBorder="1" applyAlignment="1">
      <alignment horizontal="center" vertical="center" textRotation="90"/>
    </xf>
    <xf numFmtId="0" fontId="2" fillId="16" borderId="72" xfId="0" applyFont="1" applyFill="1" applyBorder="1" applyAlignment="1">
      <alignment horizontal="center" vertical="center" textRotation="90"/>
    </xf>
    <xf numFmtId="0" fontId="2" fillId="17" borderId="24" xfId="0" applyFont="1" applyFill="1" applyBorder="1" applyAlignment="1">
      <alignment horizontal="center" vertical="center" textRotation="90"/>
    </xf>
    <xf numFmtId="0" fontId="2" fillId="17" borderId="40" xfId="0" applyFont="1" applyFill="1" applyBorder="1" applyAlignment="1">
      <alignment horizontal="center" vertical="center" textRotation="90"/>
    </xf>
    <xf numFmtId="0" fontId="2" fillId="17" borderId="72" xfId="0" applyFont="1" applyFill="1" applyBorder="1" applyAlignment="1">
      <alignment horizontal="center" vertical="center" textRotation="90"/>
    </xf>
    <xf numFmtId="0" fontId="14" fillId="15" borderId="0" xfId="1" applyFont="1" applyFill="1" applyBorder="1" applyAlignment="1" applyProtection="1">
      <alignment horizontal="center" vertical="center" wrapText="1"/>
    </xf>
    <xf numFmtId="0" fontId="14" fillId="15" borderId="73" xfId="1" applyFont="1" applyFill="1" applyBorder="1" applyAlignment="1" applyProtection="1">
      <alignment horizontal="center" vertical="center" wrapText="1"/>
    </xf>
    <xf numFmtId="49" fontId="5" fillId="4" borderId="0" xfId="0" applyNumberFormat="1" applyFont="1" applyFill="1" applyAlignment="1">
      <alignment horizontal="center" wrapText="1"/>
    </xf>
    <xf numFmtId="0" fontId="14" fillId="7" borderId="74" xfId="1" applyFont="1" applyFill="1" applyBorder="1" applyAlignment="1" applyProtection="1">
      <alignment horizontal="center" vertical="center" wrapText="1"/>
    </xf>
    <xf numFmtId="0" fontId="14" fillId="7" borderId="75" xfId="1" applyFont="1" applyFill="1" applyBorder="1" applyAlignment="1" applyProtection="1">
      <alignment horizontal="center" vertical="center" wrapText="1"/>
    </xf>
    <xf numFmtId="0" fontId="14" fillId="7" borderId="76" xfId="1" applyFont="1" applyFill="1" applyBorder="1" applyAlignment="1" applyProtection="1">
      <alignment horizontal="center" vertical="center" wrapText="1"/>
    </xf>
    <xf numFmtId="0" fontId="14" fillId="7" borderId="77" xfId="1" applyFont="1" applyFill="1" applyBorder="1" applyAlignment="1" applyProtection="1">
      <alignment horizontal="center" vertical="center" wrapText="1"/>
    </xf>
    <xf numFmtId="0" fontId="14" fillId="7" borderId="78" xfId="1" applyFont="1" applyFill="1" applyBorder="1" applyAlignment="1" applyProtection="1">
      <alignment horizontal="center" vertical="center" wrapText="1"/>
    </xf>
    <xf numFmtId="0" fontId="3" fillId="3" borderId="14" xfId="0" applyFont="1" applyFill="1" applyBorder="1" applyAlignment="1">
      <alignment horizontal="center"/>
    </xf>
    <xf numFmtId="0" fontId="3" fillId="3" borderId="79" xfId="0" applyFont="1" applyFill="1" applyBorder="1" applyAlignment="1">
      <alignment horizontal="center"/>
    </xf>
    <xf numFmtId="0" fontId="3" fillId="3" borderId="80" xfId="0" applyFont="1" applyFill="1" applyBorder="1" applyAlignment="1">
      <alignment horizontal="center"/>
    </xf>
    <xf numFmtId="0" fontId="3" fillId="3" borderId="81" xfId="0" applyFont="1" applyFill="1" applyBorder="1" applyAlignment="1">
      <alignment horizontal="center"/>
    </xf>
    <xf numFmtId="0" fontId="3" fillId="3" borderId="82" xfId="0" applyFont="1" applyFill="1" applyBorder="1" applyAlignment="1">
      <alignment horizontal="center"/>
    </xf>
    <xf numFmtId="0" fontId="3" fillId="3" borderId="8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84" xfId="0" applyFont="1" applyFill="1" applyBorder="1" applyAlignment="1">
      <alignment horizontal="center"/>
    </xf>
    <xf numFmtId="0" fontId="3" fillId="3" borderId="85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3" fillId="7" borderId="85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5" borderId="86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87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29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84" xfId="0" applyFont="1" applyFill="1" applyBorder="1" applyAlignment="1">
      <alignment horizontal="center"/>
    </xf>
    <xf numFmtId="0" fontId="3" fillId="5" borderId="85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7" borderId="88" xfId="0" applyFont="1" applyFill="1" applyBorder="1" applyAlignment="1">
      <alignment horizontal="center"/>
    </xf>
    <xf numFmtId="0" fontId="3" fillId="7" borderId="89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2" fontId="3" fillId="20" borderId="0" xfId="0" applyNumberFormat="1" applyFont="1" applyFill="1"/>
    <xf numFmtId="2" fontId="3" fillId="21" borderId="0" xfId="0" applyNumberFormat="1" applyFont="1" applyFill="1"/>
  </cellXfs>
  <cellStyles count="4">
    <cellStyle name="Link" xfId="1" builtinId="8"/>
    <cellStyle name="Standard" xfId="0" builtinId="0"/>
    <cellStyle name="Standard 2" xfId="2" xr:uid="{00000000-0005-0000-0000-000002000000}"/>
    <cellStyle name="Standard 3" xfId="3" xr:uid="{00000000-0005-0000-0000-000003000000}"/>
  </cellStyles>
  <dxfs count="7"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66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980098"/>
      <rgbColor rgb="00FF8080"/>
      <rgbColor rgb="000066CC"/>
      <rgbColor rgb="00C1DF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DAB5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CC66"/>
      <rgbColor rgb="00003300"/>
      <rgbColor rgb="00333300"/>
      <rgbColor rgb="00993300"/>
      <rgbColor rgb="00C372E0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Laufzeitkurven!$C$2</c:f>
          <c:strCache>
            <c:ptCount val="1"/>
            <c:pt idx="0">
              <c:v>LVL 150</c:v>
            </c:pt>
          </c:strCache>
        </c:strRef>
      </c:tx>
      <c:layout>
        <c:manualLayout>
          <c:xMode val="edge"/>
          <c:yMode val="edge"/>
          <c:x val="0.4543014515658661"/>
          <c:y val="2.237762237762237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2580708673475186E-2"/>
          <c:y val="0.15664346361687584"/>
          <c:w val="0.9059147712207829"/>
          <c:h val="0.75944107807110339"/>
        </c:manualLayout>
      </c:layout>
      <c:scatterChart>
        <c:scatterStyle val="lineMarker"/>
        <c:varyColors val="0"/>
        <c:ser>
          <c:idx val="0"/>
          <c:order val="0"/>
          <c:tx>
            <c:v>Fern++</c:v>
          </c:tx>
          <c:spPr>
            <a:ln w="12700">
              <a:solidFill>
                <a:srgbClr val="C1DF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1DFFF"/>
              </a:solidFill>
              <a:ln>
                <a:solidFill>
                  <a:srgbClr val="C1D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Berechnung!$Q$3:$Q$50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18-4993-B24B-D62AEE7F4A2B}"/>
            </c:ext>
          </c:extLst>
        </c:ser>
        <c:ser>
          <c:idx val="1"/>
          <c:order val="1"/>
          <c:tx>
            <c:v>Fern+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Berechnung!$L$3:$L$50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18-4993-B24B-D62AEE7F4A2B}"/>
            </c:ext>
          </c:extLst>
        </c:ser>
        <c:ser>
          <c:idx val="4"/>
          <c:order val="2"/>
          <c:tx>
            <c:v>Off-end +</c:v>
          </c:tx>
          <c:spPr>
            <a:ln w="12700">
              <a:solidFill>
                <a:srgbClr val="0066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66FF"/>
              </a:solidFill>
              <a:ln>
                <a:solidFill>
                  <a:srgbClr val="0066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Berechnung!$F$3:$F$50</c:f>
              <c:numCache>
                <c:formatCode>0.00</c:formatCode>
                <c:ptCount val="48"/>
                <c:pt idx="0">
                  <c:v>6.4190662186696157</c:v>
                </c:pt>
                <c:pt idx="1">
                  <c:v>12.827588529712287</c:v>
                </c:pt>
                <c:pt idx="2">
                  <c:v>17.992276726005908</c:v>
                </c:pt>
                <c:pt idx="3">
                  <c:v>23.251035773881362</c:v>
                </c:pt>
                <c:pt idx="4">
                  <c:v>28.579508021342949</c:v>
                </c:pt>
                <c:pt idx="5">
                  <c:v>32.543802851155412</c:v>
                </c:pt>
                <c:pt idx="6">
                  <c:v>35.674423914362258</c:v>
                </c:pt>
                <c:pt idx="7">
                  <c:v>38.28607319169425</c:v>
                </c:pt>
                <c:pt idx="8">
                  <c:v>41.103107291090183</c:v>
                </c:pt>
                <c:pt idx="9">
                  <c:v>43.676513604626571</c:v>
                </c:pt>
                <c:pt idx="10">
                  <c:v>46.24614107578676</c:v>
                </c:pt>
                <c:pt idx="11">
                  <c:v>49.069280623977647</c:v>
                </c:pt>
                <c:pt idx="12">
                  <c:v>51.89080986948337</c:v>
                </c:pt>
                <c:pt idx="13">
                  <c:v>54.327487076635236</c:v>
                </c:pt>
                <c:pt idx="14">
                  <c:v>57.559433899422075</c:v>
                </c:pt>
                <c:pt idx="15">
                  <c:v>60.014965137919063</c:v>
                </c:pt>
                <c:pt idx="16">
                  <c:v>62.878823448010159</c:v>
                </c:pt>
                <c:pt idx="17">
                  <c:v>65.731873252372253</c:v>
                </c:pt>
                <c:pt idx="18">
                  <c:v>67.379364505668448</c:v>
                </c:pt>
                <c:pt idx="19">
                  <c:v>69.01609830163278</c:v>
                </c:pt>
                <c:pt idx="20">
                  <c:v>70.728955623171629</c:v>
                </c:pt>
                <c:pt idx="21">
                  <c:v>71.061446834438087</c:v>
                </c:pt>
                <c:pt idx="22">
                  <c:v>70.986458975707805</c:v>
                </c:pt>
                <c:pt idx="23">
                  <c:v>71.243060205113892</c:v>
                </c:pt>
                <c:pt idx="24">
                  <c:v>72.267793565586771</c:v>
                </c:pt>
                <c:pt idx="25">
                  <c:v>73.420579864768285</c:v>
                </c:pt>
                <c:pt idx="26">
                  <c:v>74.445261907928611</c:v>
                </c:pt>
                <c:pt idx="27">
                  <c:v>75.341939014610716</c:v>
                </c:pt>
                <c:pt idx="28">
                  <c:v>75.726462094426523</c:v>
                </c:pt>
                <c:pt idx="29">
                  <c:v>76.584819296079033</c:v>
                </c:pt>
                <c:pt idx="30">
                  <c:v>77.8119466483504</c:v>
                </c:pt>
                <c:pt idx="31">
                  <c:v>80.060999705815448</c:v>
                </c:pt>
                <c:pt idx="32">
                  <c:v>81.492388677941392</c:v>
                </c:pt>
                <c:pt idx="33">
                  <c:v>83.332592987587006</c:v>
                </c:pt>
                <c:pt idx="34">
                  <c:v>85.17266050978192</c:v>
                </c:pt>
                <c:pt idx="35">
                  <c:v>87.625948581771013</c:v>
                </c:pt>
                <c:pt idx="36">
                  <c:v>88.239646974118543</c:v>
                </c:pt>
                <c:pt idx="37">
                  <c:v>89.686852640870654</c:v>
                </c:pt>
                <c:pt idx="38">
                  <c:v>91.351619338236702</c:v>
                </c:pt>
                <c:pt idx="39">
                  <c:v>92.124418379511695</c:v>
                </c:pt>
                <c:pt idx="40">
                  <c:v>93.419363490401366</c:v>
                </c:pt>
                <c:pt idx="41">
                  <c:v>94.169218772253927</c:v>
                </c:pt>
                <c:pt idx="42">
                  <c:v>95.833908424365177</c:v>
                </c:pt>
                <c:pt idx="43">
                  <c:v>96.858415429668895</c:v>
                </c:pt>
                <c:pt idx="44">
                  <c:v>97.626801460632649</c:v>
                </c:pt>
                <c:pt idx="45">
                  <c:v>98.395084585578303</c:v>
                </c:pt>
                <c:pt idx="46">
                  <c:v>98.907376128937216</c:v>
                </c:pt>
                <c:pt idx="47">
                  <c:v>99.803648100829491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18-4993-B24B-D62AEE7F4A2B}"/>
            </c:ext>
          </c:extLst>
        </c:ser>
        <c:ser>
          <c:idx val="5"/>
          <c:order val="3"/>
          <c:tx>
            <c:v>Zentral</c:v>
          </c:tx>
          <c:spPr>
            <a:ln w="12700">
              <a:solidFill>
                <a:srgbClr val="00CC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66"/>
              </a:solidFill>
              <a:ln>
                <a:solidFill>
                  <a:srgbClr val="00CC66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(Berechnung!$C$3:$C$26,Berechnung!$D$27:$D$50)</c:f>
              <c:numCache>
                <c:formatCode>0.00</c:formatCode>
                <c:ptCount val="48"/>
                <c:pt idx="0">
                  <c:v>69.428671423749449</c:v>
                </c:pt>
                <c:pt idx="1">
                  <c:v>68.814987134317761</c:v>
                </c:pt>
                <c:pt idx="2">
                  <c:v>67.996800790788086</c:v>
                </c:pt>
                <c:pt idx="3">
                  <c:v>67.178576839881984</c:v>
                </c:pt>
                <c:pt idx="4">
                  <c:v>66.360411079834336</c:v>
                </c:pt>
                <c:pt idx="5">
                  <c:v>63.701857980550059</c:v>
                </c:pt>
                <c:pt idx="6">
                  <c:v>61.860727333190077</c:v>
                </c:pt>
                <c:pt idx="7">
                  <c:v>59.814876630525745</c:v>
                </c:pt>
                <c:pt idx="8">
                  <c:v>57.155685873949466</c:v>
                </c:pt>
                <c:pt idx="9">
                  <c:v>54.496013656304797</c:v>
                </c:pt>
                <c:pt idx="10">
                  <c:v>51.223012232258327</c:v>
                </c:pt>
                <c:pt idx="11">
                  <c:v>48.766578505085107</c:v>
                </c:pt>
                <c:pt idx="12">
                  <c:v>46.104765379668315</c:v>
                </c:pt>
                <c:pt idx="13">
                  <c:v>43.645850818582559</c:v>
                </c:pt>
                <c:pt idx="14">
                  <c:v>41.057076657646924</c:v>
                </c:pt>
                <c:pt idx="15">
                  <c:v>38.019784445143436</c:v>
                </c:pt>
                <c:pt idx="16">
                  <c:v>34.978524959283966</c:v>
                </c:pt>
                <c:pt idx="17">
                  <c:v>31.929089868318474</c:v>
                </c:pt>
                <c:pt idx="18">
                  <c:v>28.604297814258164</c:v>
                </c:pt>
                <c:pt idx="19">
                  <c:v>22.120667590039286</c:v>
                </c:pt>
                <c:pt idx="20">
                  <c:v>16.995212476370753</c:v>
                </c:pt>
                <c:pt idx="21">
                  <c:v>12.76106507140079</c:v>
                </c:pt>
                <c:pt idx="22">
                  <c:v>7.3902755994971532</c:v>
                </c:pt>
                <c:pt idx="23">
                  <c:v>1.9004951954129641</c:v>
                </c:pt>
                <c:pt idx="24">
                  <c:v>2.3848810189594212</c:v>
                </c:pt>
                <c:pt idx="25">
                  <c:v>8.3211766715041691</c:v>
                </c:pt>
                <c:pt idx="26">
                  <c:v>13.352767348335838</c:v>
                </c:pt>
                <c:pt idx="27">
                  <c:v>17.353905403007726</c:v>
                </c:pt>
                <c:pt idx="28">
                  <c:v>21.969582831201912</c:v>
                </c:pt>
                <c:pt idx="29">
                  <c:v>29.620850184738174</c:v>
                </c:pt>
                <c:pt idx="30">
                  <c:v>33.151683807443028</c:v>
                </c:pt>
                <c:pt idx="31">
                  <c:v>36.375698080079296</c:v>
                </c:pt>
                <c:pt idx="32">
                  <c:v>38.928740474674221</c:v>
                </c:pt>
                <c:pt idx="33">
                  <c:v>40.912535514049708</c:v>
                </c:pt>
                <c:pt idx="34">
                  <c:v>43.548833172902349</c:v>
                </c:pt>
                <c:pt idx="35">
                  <c:v>46.089075974748049</c:v>
                </c:pt>
                <c:pt idx="36">
                  <c:v>48.153615633115365</c:v>
                </c:pt>
                <c:pt idx="37">
                  <c:v>50.814198891165219</c:v>
                </c:pt>
                <c:pt idx="38">
                  <c:v>53.474407075664928</c:v>
                </c:pt>
                <c:pt idx="39">
                  <c:v>56.427025729417863</c:v>
                </c:pt>
                <c:pt idx="40">
                  <c:v>60.183171813374464</c:v>
                </c:pt>
                <c:pt idx="41">
                  <c:v>62.71911402026759</c:v>
                </c:pt>
                <c:pt idx="42">
                  <c:v>66.099433238541906</c:v>
                </c:pt>
                <c:pt idx="43">
                  <c:v>67.321124484269745</c:v>
                </c:pt>
                <c:pt idx="44">
                  <c:v>68.448043970305875</c:v>
                </c:pt>
                <c:pt idx="45">
                  <c:v>69.293375801382254</c:v>
                </c:pt>
                <c:pt idx="46">
                  <c:v>70.245651939639203</c:v>
                </c:pt>
                <c:pt idx="47">
                  <c:v>70.655080144554915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18-4993-B24B-D62AEE7F4A2B}"/>
            </c:ext>
          </c:extLst>
        </c:ser>
        <c:ser>
          <c:idx val="6"/>
          <c:order val="4"/>
          <c:tx>
            <c:v>Off-end -</c:v>
          </c:tx>
          <c:spPr>
            <a:ln w="12700">
              <a:solidFill>
                <a:srgbClr val="980098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980098"/>
              </a:solidFill>
              <a:ln>
                <a:solidFill>
                  <a:srgbClr val="980098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Berechnung!$E$3:$E$50</c:f>
              <c:numCache>
                <c:formatCode>0.00</c:formatCode>
                <c:ptCount val="48"/>
                <c:pt idx="0">
                  <c:v>100.91660299598189</c:v>
                </c:pt>
                <c:pt idx="1">
                  <c:v>100.50752832074443</c:v>
                </c:pt>
                <c:pt idx="2">
                  <c:v>100.09845086577002</c:v>
                </c:pt>
                <c:pt idx="3">
                  <c:v>99.280885359077502</c:v>
                </c:pt>
                <c:pt idx="4">
                  <c:v>98.463217587675302</c:v>
                </c:pt>
                <c:pt idx="5">
                  <c:v>97.032066710119381</c:v>
                </c:pt>
                <c:pt idx="6">
                  <c:v>95.601004351725422</c:v>
                </c:pt>
                <c:pt idx="7">
                  <c:v>94.374320191874475</c:v>
                </c:pt>
                <c:pt idx="8">
                  <c:v>92.534349543317219</c:v>
                </c:pt>
                <c:pt idx="9">
                  <c:v>90.490075609326482</c:v>
                </c:pt>
                <c:pt idx="10">
                  <c:v>88.85446615246228</c:v>
                </c:pt>
                <c:pt idx="11">
                  <c:v>87.218938352634339</c:v>
                </c:pt>
                <c:pt idx="12">
                  <c:v>85.583289856046349</c:v>
                </c:pt>
                <c:pt idx="13">
                  <c:v>84.765364483473263</c:v>
                </c:pt>
                <c:pt idx="14">
                  <c:v>83.334147381996971</c:v>
                </c:pt>
                <c:pt idx="15">
                  <c:v>81.494027904986567</c:v>
                </c:pt>
                <c:pt idx="16">
                  <c:v>80.062741528837947</c:v>
                </c:pt>
                <c:pt idx="17">
                  <c:v>78.426929027227033</c:v>
                </c:pt>
                <c:pt idx="18">
                  <c:v>76.791168019748355</c:v>
                </c:pt>
                <c:pt idx="19">
                  <c:v>75.564106864342975</c:v>
                </c:pt>
                <c:pt idx="20">
                  <c:v>74.746121385626509</c:v>
                </c:pt>
                <c:pt idx="21">
                  <c:v>74.387964075524195</c:v>
                </c:pt>
                <c:pt idx="22">
                  <c:v>73.493346686116709</c:v>
                </c:pt>
                <c:pt idx="23">
                  <c:v>72.598607972831161</c:v>
                </c:pt>
                <c:pt idx="24">
                  <c:v>71.703945838535077</c:v>
                </c:pt>
                <c:pt idx="25">
                  <c:v>70.809257958588788</c:v>
                </c:pt>
                <c:pt idx="26">
                  <c:v>70.451061432934338</c:v>
                </c:pt>
                <c:pt idx="27">
                  <c:v>69.63299713641257</c:v>
                </c:pt>
                <c:pt idx="28">
                  <c:v>68.610430414888469</c:v>
                </c:pt>
                <c:pt idx="29">
                  <c:v>66.360821195159502</c:v>
                </c:pt>
                <c:pt idx="30">
                  <c:v>63.906682212066485</c:v>
                </c:pt>
                <c:pt idx="31">
                  <c:v>61.656687214721167</c:v>
                </c:pt>
                <c:pt idx="32">
                  <c:v>58.588942756527494</c:v>
                </c:pt>
                <c:pt idx="33">
                  <c:v>55.520709953531515</c:v>
                </c:pt>
                <c:pt idx="34">
                  <c:v>53.269880792839103</c:v>
                </c:pt>
                <c:pt idx="35">
                  <c:v>50.405297258516981</c:v>
                </c:pt>
                <c:pt idx="36">
                  <c:v>47.131269397410328</c:v>
                </c:pt>
                <c:pt idx="37">
                  <c:v>44.0600878512126</c:v>
                </c:pt>
                <c:pt idx="38">
                  <c:v>41.396636994141218</c:v>
                </c:pt>
                <c:pt idx="39">
                  <c:v>38.321588688040748</c:v>
                </c:pt>
                <c:pt idx="40">
                  <c:v>36.058420450595584</c:v>
                </c:pt>
                <c:pt idx="41">
                  <c:v>33.785484666836894</c:v>
                </c:pt>
                <c:pt idx="42">
                  <c:v>30.880201961426543</c:v>
                </c:pt>
                <c:pt idx="43">
                  <c:v>23.864099549492831</c:v>
                </c:pt>
                <c:pt idx="44">
                  <c:v>19.315918665301822</c:v>
                </c:pt>
                <c:pt idx="45">
                  <c:v>14.732875285030337</c:v>
                </c:pt>
                <c:pt idx="46">
                  <c:v>10.259131943972239</c:v>
                </c:pt>
                <c:pt idx="47">
                  <c:v>4.5960897337017226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18-4993-B24B-D62AEE7F4A2B}"/>
            </c:ext>
          </c:extLst>
        </c:ser>
        <c:ser>
          <c:idx val="2"/>
          <c:order val="5"/>
          <c:tx>
            <c:v>Fern-</c:v>
          </c:tx>
          <c:spPr>
            <a:ln w="12700">
              <a:solidFill>
                <a:srgbClr val="C372E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372E0"/>
              </a:solidFill>
              <a:ln>
                <a:solidFill>
                  <a:srgbClr val="C372E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Berechnung!$K$3:$K$50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18-4993-B24B-D62AEE7F4A2B}"/>
            </c:ext>
          </c:extLst>
        </c:ser>
        <c:ser>
          <c:idx val="3"/>
          <c:order val="6"/>
          <c:tx>
            <c:v>Fern--</c:v>
          </c:tx>
          <c:spPr>
            <a:ln w="12700">
              <a:solidFill>
                <a:srgbClr val="DAB5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DAB5FF"/>
              </a:solidFill>
              <a:ln>
                <a:solidFill>
                  <a:srgbClr val="DAB5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Berechnung!$P$3:$P$50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B18-4993-B24B-D62AEE7F4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18208"/>
        <c:axId val="206325632"/>
      </c:scatterChart>
      <c:valAx>
        <c:axId val="206318208"/>
        <c:scaling>
          <c:orientation val="minMax"/>
          <c:max val="200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Kanalnummer</a:t>
                </a:r>
              </a:p>
            </c:rich>
          </c:tx>
          <c:layout>
            <c:manualLayout>
              <c:xMode val="edge"/>
              <c:yMode val="edge"/>
              <c:x val="0.48297528669131412"/>
              <c:y val="0.95244813978672249"/>
            </c:manualLayout>
          </c:layout>
          <c:overlay val="0"/>
          <c:spPr>
            <a:noFill/>
            <a:ln w="25400">
              <a:noFill/>
            </a:ln>
          </c:spPr>
        </c:title>
        <c:numFmt formatCode="Standard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6325632"/>
        <c:crosses val="autoZero"/>
        <c:crossBetween val="midCat"/>
        <c:majorUnit val="10"/>
        <c:minorUnit val="1"/>
      </c:valAx>
      <c:valAx>
        <c:axId val="20632563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Zeit in msec</a:t>
                </a:r>
              </a:p>
            </c:rich>
          </c:tx>
          <c:layout>
            <c:manualLayout>
              <c:xMode val="edge"/>
              <c:yMode val="edge"/>
              <c:x val="2.2401433691756272E-2"/>
              <c:y val="0.479720573389864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631820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25806470427755668"/>
          <c:y val="8.3916083916083919E-2"/>
          <c:w val="0.52612272928249559"/>
          <c:h val="2.964109905842189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25400">
      <a:solidFill>
        <a:srgbClr val="000000"/>
      </a:solidFill>
      <a:prstDash val="solid"/>
    </a:ln>
  </c:spPr>
  <c:txPr>
    <a:bodyPr/>
    <a:lstStyle/>
    <a:p>
      <a:pPr>
        <a:defRPr sz="2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Laufzeitkurven!$C$2</c:f>
          <c:strCache>
            <c:ptCount val="1"/>
            <c:pt idx="0">
              <c:v>LVL 150</c:v>
            </c:pt>
          </c:strCache>
        </c:strRef>
      </c:tx>
      <c:layout>
        <c:manualLayout>
          <c:xMode val="edge"/>
          <c:yMode val="edge"/>
          <c:x val="0.41611752377106709"/>
          <c:y val="1.928020565552699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6.3465627878703357E-2"/>
          <c:y val="9.3837879760348394E-2"/>
          <c:w val="0.79340716103419828"/>
          <c:h val="0.8444735377128465"/>
        </c:manualLayout>
      </c:layout>
      <c:scatterChart>
        <c:scatterStyle val="smoothMarker"/>
        <c:varyColors val="0"/>
        <c:ser>
          <c:idx val="0"/>
          <c:order val="0"/>
          <c:tx>
            <c:v>Fern ++</c:v>
          </c:tx>
          <c:spPr>
            <a:ln w="25400">
              <a:solidFill>
                <a:srgbClr val="C1DF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1DFFF"/>
              </a:solidFill>
              <a:ln>
                <a:solidFill>
                  <a:srgbClr val="C1D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Berechnung!$Q$3:$Q$50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1C-4454-8B29-E20BF3CB85C3}"/>
            </c:ext>
          </c:extLst>
        </c:ser>
        <c:ser>
          <c:idx val="1"/>
          <c:order val="1"/>
          <c:tx>
            <c:v>Fern +</c:v>
          </c:tx>
          <c:spPr>
            <a:ln w="25400">
              <a:solidFill>
                <a:srgbClr val="00CC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Berechnung!$L$3:$L$50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1C-4454-8B29-E20BF3CB85C3}"/>
            </c:ext>
          </c:extLst>
        </c:ser>
        <c:ser>
          <c:idx val="2"/>
          <c:order val="2"/>
          <c:tx>
            <c:v>Off-end +</c:v>
          </c:tx>
          <c:spPr>
            <a:ln w="25400">
              <a:solidFill>
                <a:srgbClr val="0066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66FF"/>
              </a:solidFill>
              <a:ln>
                <a:solidFill>
                  <a:srgbClr val="0066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Berechnung!$F$3:$F$50</c:f>
              <c:numCache>
                <c:formatCode>0.00</c:formatCode>
                <c:ptCount val="48"/>
                <c:pt idx="0">
                  <c:v>6.4190662186696157</c:v>
                </c:pt>
                <c:pt idx="1">
                  <c:v>12.827588529712287</c:v>
                </c:pt>
                <c:pt idx="2">
                  <c:v>17.992276726005908</c:v>
                </c:pt>
                <c:pt idx="3">
                  <c:v>23.251035773881362</c:v>
                </c:pt>
                <c:pt idx="4">
                  <c:v>28.579508021342949</c:v>
                </c:pt>
                <c:pt idx="5">
                  <c:v>32.543802851155412</c:v>
                </c:pt>
                <c:pt idx="6">
                  <c:v>35.674423914362258</c:v>
                </c:pt>
                <c:pt idx="7">
                  <c:v>38.28607319169425</c:v>
                </c:pt>
                <c:pt idx="8">
                  <c:v>41.103107291090183</c:v>
                </c:pt>
                <c:pt idx="9">
                  <c:v>43.676513604626571</c:v>
                </c:pt>
                <c:pt idx="10">
                  <c:v>46.24614107578676</c:v>
                </c:pt>
                <c:pt idx="11">
                  <c:v>49.069280623977647</c:v>
                </c:pt>
                <c:pt idx="12">
                  <c:v>51.89080986948337</c:v>
                </c:pt>
                <c:pt idx="13">
                  <c:v>54.327487076635236</c:v>
                </c:pt>
                <c:pt idx="14">
                  <c:v>57.559433899422075</c:v>
                </c:pt>
                <c:pt idx="15">
                  <c:v>60.014965137919063</c:v>
                </c:pt>
                <c:pt idx="16">
                  <c:v>62.878823448010159</c:v>
                </c:pt>
                <c:pt idx="17">
                  <c:v>65.731873252372253</c:v>
                </c:pt>
                <c:pt idx="18">
                  <c:v>67.379364505668448</c:v>
                </c:pt>
                <c:pt idx="19">
                  <c:v>69.01609830163278</c:v>
                </c:pt>
                <c:pt idx="20">
                  <c:v>70.728955623171629</c:v>
                </c:pt>
                <c:pt idx="21">
                  <c:v>71.061446834438087</c:v>
                </c:pt>
                <c:pt idx="22">
                  <c:v>70.986458975707805</c:v>
                </c:pt>
                <c:pt idx="23">
                  <c:v>71.243060205113892</c:v>
                </c:pt>
                <c:pt idx="24">
                  <c:v>72.267793565586771</c:v>
                </c:pt>
                <c:pt idx="25">
                  <c:v>73.420579864768285</c:v>
                </c:pt>
                <c:pt idx="26">
                  <c:v>74.445261907928611</c:v>
                </c:pt>
                <c:pt idx="27">
                  <c:v>75.341939014610716</c:v>
                </c:pt>
                <c:pt idx="28">
                  <c:v>75.726462094426523</c:v>
                </c:pt>
                <c:pt idx="29">
                  <c:v>76.584819296079033</c:v>
                </c:pt>
                <c:pt idx="30">
                  <c:v>77.8119466483504</c:v>
                </c:pt>
                <c:pt idx="31">
                  <c:v>80.060999705815448</c:v>
                </c:pt>
                <c:pt idx="32">
                  <c:v>81.492388677941392</c:v>
                </c:pt>
                <c:pt idx="33">
                  <c:v>83.332592987587006</c:v>
                </c:pt>
                <c:pt idx="34">
                  <c:v>85.17266050978192</c:v>
                </c:pt>
                <c:pt idx="35">
                  <c:v>87.625948581771013</c:v>
                </c:pt>
                <c:pt idx="36">
                  <c:v>88.239646974118543</c:v>
                </c:pt>
                <c:pt idx="37">
                  <c:v>89.686852640870654</c:v>
                </c:pt>
                <c:pt idx="38">
                  <c:v>91.351619338236702</c:v>
                </c:pt>
                <c:pt idx="39">
                  <c:v>92.124418379511695</c:v>
                </c:pt>
                <c:pt idx="40">
                  <c:v>93.419363490401366</c:v>
                </c:pt>
                <c:pt idx="41">
                  <c:v>94.169218772253927</c:v>
                </c:pt>
                <c:pt idx="42">
                  <c:v>95.833908424365177</c:v>
                </c:pt>
                <c:pt idx="43">
                  <c:v>96.858415429668895</c:v>
                </c:pt>
                <c:pt idx="44">
                  <c:v>97.626801460632649</c:v>
                </c:pt>
                <c:pt idx="45">
                  <c:v>98.395084585578303</c:v>
                </c:pt>
                <c:pt idx="46">
                  <c:v>98.907376128937216</c:v>
                </c:pt>
                <c:pt idx="47">
                  <c:v>99.803648100829491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1C-4454-8B29-E20BF3CB85C3}"/>
            </c:ext>
          </c:extLst>
        </c:ser>
        <c:ser>
          <c:idx val="3"/>
          <c:order val="3"/>
          <c:tx>
            <c:v>Zentral</c:v>
          </c:tx>
          <c:spPr>
            <a:ln w="25400">
              <a:solidFill>
                <a:srgbClr val="00CC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66"/>
              </a:solidFill>
              <a:ln>
                <a:solidFill>
                  <a:srgbClr val="00CC66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(Berechnung!$C$3:$C$26,Berechnung!$D$27:$D$50)</c:f>
              <c:numCache>
                <c:formatCode>0.00</c:formatCode>
                <c:ptCount val="48"/>
                <c:pt idx="0">
                  <c:v>69.428671423749449</c:v>
                </c:pt>
                <c:pt idx="1">
                  <c:v>68.814987134317761</c:v>
                </c:pt>
                <c:pt idx="2">
                  <c:v>67.996800790788086</c:v>
                </c:pt>
                <c:pt idx="3">
                  <c:v>67.178576839881984</c:v>
                </c:pt>
                <c:pt idx="4">
                  <c:v>66.360411079834336</c:v>
                </c:pt>
                <c:pt idx="5">
                  <c:v>63.701857980550059</c:v>
                </c:pt>
                <c:pt idx="6">
                  <c:v>61.860727333190077</c:v>
                </c:pt>
                <c:pt idx="7">
                  <c:v>59.814876630525745</c:v>
                </c:pt>
                <c:pt idx="8">
                  <c:v>57.155685873949466</c:v>
                </c:pt>
                <c:pt idx="9">
                  <c:v>54.496013656304797</c:v>
                </c:pt>
                <c:pt idx="10">
                  <c:v>51.223012232258327</c:v>
                </c:pt>
                <c:pt idx="11">
                  <c:v>48.766578505085107</c:v>
                </c:pt>
                <c:pt idx="12">
                  <c:v>46.104765379668315</c:v>
                </c:pt>
                <c:pt idx="13">
                  <c:v>43.645850818582559</c:v>
                </c:pt>
                <c:pt idx="14">
                  <c:v>41.057076657646924</c:v>
                </c:pt>
                <c:pt idx="15">
                  <c:v>38.019784445143436</c:v>
                </c:pt>
                <c:pt idx="16">
                  <c:v>34.978524959283966</c:v>
                </c:pt>
                <c:pt idx="17">
                  <c:v>31.929089868318474</c:v>
                </c:pt>
                <c:pt idx="18">
                  <c:v>28.604297814258164</c:v>
                </c:pt>
                <c:pt idx="19">
                  <c:v>22.120667590039286</c:v>
                </c:pt>
                <c:pt idx="20">
                  <c:v>16.995212476370753</c:v>
                </c:pt>
                <c:pt idx="21">
                  <c:v>12.76106507140079</c:v>
                </c:pt>
                <c:pt idx="22">
                  <c:v>7.3902755994971532</c:v>
                </c:pt>
                <c:pt idx="23">
                  <c:v>1.9004951954129641</c:v>
                </c:pt>
                <c:pt idx="24">
                  <c:v>2.3848810189594212</c:v>
                </c:pt>
                <c:pt idx="25">
                  <c:v>8.3211766715041691</c:v>
                </c:pt>
                <c:pt idx="26">
                  <c:v>13.352767348335838</c:v>
                </c:pt>
                <c:pt idx="27">
                  <c:v>17.353905403007726</c:v>
                </c:pt>
                <c:pt idx="28">
                  <c:v>21.969582831201912</c:v>
                </c:pt>
                <c:pt idx="29">
                  <c:v>29.620850184738174</c:v>
                </c:pt>
                <c:pt idx="30">
                  <c:v>33.151683807443028</c:v>
                </c:pt>
                <c:pt idx="31">
                  <c:v>36.375698080079296</c:v>
                </c:pt>
                <c:pt idx="32">
                  <c:v>38.928740474674221</c:v>
                </c:pt>
                <c:pt idx="33">
                  <c:v>40.912535514049708</c:v>
                </c:pt>
                <c:pt idx="34">
                  <c:v>43.548833172902349</c:v>
                </c:pt>
                <c:pt idx="35">
                  <c:v>46.089075974748049</c:v>
                </c:pt>
                <c:pt idx="36">
                  <c:v>48.153615633115365</c:v>
                </c:pt>
                <c:pt idx="37">
                  <c:v>50.814198891165219</c:v>
                </c:pt>
                <c:pt idx="38">
                  <c:v>53.474407075664928</c:v>
                </c:pt>
                <c:pt idx="39">
                  <c:v>56.427025729417863</c:v>
                </c:pt>
                <c:pt idx="40">
                  <c:v>60.183171813374464</c:v>
                </c:pt>
                <c:pt idx="41">
                  <c:v>62.71911402026759</c:v>
                </c:pt>
                <c:pt idx="42">
                  <c:v>66.099433238541906</c:v>
                </c:pt>
                <c:pt idx="43">
                  <c:v>67.321124484269745</c:v>
                </c:pt>
                <c:pt idx="44">
                  <c:v>68.448043970305875</c:v>
                </c:pt>
                <c:pt idx="45">
                  <c:v>69.293375801382254</c:v>
                </c:pt>
                <c:pt idx="46">
                  <c:v>70.245651939639203</c:v>
                </c:pt>
                <c:pt idx="47">
                  <c:v>70.655080144554915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1C-4454-8B29-E20BF3CB85C3}"/>
            </c:ext>
          </c:extLst>
        </c:ser>
        <c:ser>
          <c:idx val="4"/>
          <c:order val="4"/>
          <c:tx>
            <c:v>Off-end -</c:v>
          </c:tx>
          <c:spPr>
            <a:ln w="25400">
              <a:solidFill>
                <a:srgbClr val="980098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980098"/>
              </a:solidFill>
              <a:ln>
                <a:solidFill>
                  <a:srgbClr val="980098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Berechnung!$G$3:$G$50</c:f>
              <c:numCache>
                <c:formatCode>0.00</c:formatCode>
                <c:ptCount val="48"/>
                <c:pt idx="0">
                  <c:v>99.803648100829491</c:v>
                </c:pt>
                <c:pt idx="1">
                  <c:v>99.394573425592029</c:v>
                </c:pt>
                <c:pt idx="2">
                  <c:v>98.98549597061762</c:v>
                </c:pt>
                <c:pt idx="3">
                  <c:v>98.167930463925103</c:v>
                </c:pt>
                <c:pt idx="4">
                  <c:v>97.350262692522904</c:v>
                </c:pt>
                <c:pt idx="5">
                  <c:v>95.919111814966982</c:v>
                </c:pt>
                <c:pt idx="6">
                  <c:v>94.488049456573009</c:v>
                </c:pt>
                <c:pt idx="7">
                  <c:v>93.261365296722062</c:v>
                </c:pt>
                <c:pt idx="8">
                  <c:v>91.421394648164807</c:v>
                </c:pt>
                <c:pt idx="9">
                  <c:v>89.377120714174083</c:v>
                </c:pt>
                <c:pt idx="10">
                  <c:v>87.741511257309895</c:v>
                </c:pt>
                <c:pt idx="11">
                  <c:v>86.105983457481926</c:v>
                </c:pt>
                <c:pt idx="12">
                  <c:v>84.47033496089395</c:v>
                </c:pt>
                <c:pt idx="13">
                  <c:v>83.652409588320864</c:v>
                </c:pt>
                <c:pt idx="14">
                  <c:v>82.221192486844558</c:v>
                </c:pt>
                <c:pt idx="15">
                  <c:v>80.381073009834182</c:v>
                </c:pt>
                <c:pt idx="16">
                  <c:v>78.949786633685534</c:v>
                </c:pt>
                <c:pt idx="17">
                  <c:v>77.313974132074634</c:v>
                </c:pt>
                <c:pt idx="18">
                  <c:v>75.678213124595942</c:v>
                </c:pt>
                <c:pt idx="19">
                  <c:v>74.45115196919059</c:v>
                </c:pt>
                <c:pt idx="20">
                  <c:v>73.63316649047411</c:v>
                </c:pt>
                <c:pt idx="21">
                  <c:v>73.275009180371796</c:v>
                </c:pt>
                <c:pt idx="22">
                  <c:v>72.380391790964296</c:v>
                </c:pt>
                <c:pt idx="23">
                  <c:v>71.485653077678762</c:v>
                </c:pt>
                <c:pt idx="24">
                  <c:v>70.590990943382678</c:v>
                </c:pt>
                <c:pt idx="25">
                  <c:v>69.696303063436375</c:v>
                </c:pt>
                <c:pt idx="26">
                  <c:v>69.338106537781954</c:v>
                </c:pt>
                <c:pt idx="27">
                  <c:v>68.520042241260171</c:v>
                </c:pt>
                <c:pt idx="28">
                  <c:v>67.497475519736071</c:v>
                </c:pt>
                <c:pt idx="29">
                  <c:v>65.247866300007104</c:v>
                </c:pt>
                <c:pt idx="30">
                  <c:v>62.793727316914072</c:v>
                </c:pt>
                <c:pt idx="31">
                  <c:v>60.543732319568761</c:v>
                </c:pt>
                <c:pt idx="32">
                  <c:v>57.475987861375103</c:v>
                </c:pt>
                <c:pt idx="33">
                  <c:v>54.407755058379109</c:v>
                </c:pt>
                <c:pt idx="34">
                  <c:v>52.156925897686705</c:v>
                </c:pt>
                <c:pt idx="35">
                  <c:v>49.292342363364583</c:v>
                </c:pt>
                <c:pt idx="36">
                  <c:v>46.018314502257937</c:v>
                </c:pt>
                <c:pt idx="37">
                  <c:v>42.947132956060187</c:v>
                </c:pt>
                <c:pt idx="38">
                  <c:v>40.283682098988805</c:v>
                </c:pt>
                <c:pt idx="39">
                  <c:v>37.208633792888349</c:v>
                </c:pt>
                <c:pt idx="40">
                  <c:v>34.945465555443178</c:v>
                </c:pt>
                <c:pt idx="41">
                  <c:v>32.672529771684509</c:v>
                </c:pt>
                <c:pt idx="42">
                  <c:v>29.767247066274138</c:v>
                </c:pt>
                <c:pt idx="43">
                  <c:v>22.751144654340436</c:v>
                </c:pt>
                <c:pt idx="44">
                  <c:v>18.202963770149424</c:v>
                </c:pt>
                <c:pt idx="45">
                  <c:v>13.619920389877933</c:v>
                </c:pt>
                <c:pt idx="46">
                  <c:v>9.1461770488198368</c:v>
                </c:pt>
                <c:pt idx="47">
                  <c:v>3.4831348385493186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1C-4454-8B29-E20BF3CB85C3}"/>
            </c:ext>
          </c:extLst>
        </c:ser>
        <c:ser>
          <c:idx val="5"/>
          <c:order val="5"/>
          <c:tx>
            <c:v>Fern -</c:v>
          </c:tx>
          <c:spPr>
            <a:ln w="25400">
              <a:solidFill>
                <a:srgbClr val="C372E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372E0"/>
              </a:solidFill>
              <a:ln>
                <a:solidFill>
                  <a:srgbClr val="C372E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Berechnung!$K$3:$K$50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A1C-4454-8B29-E20BF3CB85C3}"/>
            </c:ext>
          </c:extLst>
        </c:ser>
        <c:ser>
          <c:idx val="6"/>
          <c:order val="6"/>
          <c:tx>
            <c:v>Fern --</c:v>
          </c:tx>
          <c:spPr>
            <a:ln w="25400">
              <a:solidFill>
                <a:srgbClr val="DAB5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DAB5FF"/>
              </a:solidFill>
              <a:ln>
                <a:solidFill>
                  <a:srgbClr val="DAB5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Berechnung!$P$3:$P$50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A1C-4454-8B29-E20BF3CB85C3}"/>
            </c:ext>
          </c:extLst>
        </c:ser>
        <c:ser>
          <c:idx val="7"/>
          <c:order val="7"/>
          <c:tx>
            <c:v>Pluszeiten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Hilfsdaten!$L$4:$L$51</c:f>
              <c:numCache>
                <c:formatCode>0.00</c:formatCode>
                <c:ptCount val="48"/>
                <c:pt idx="0">
                  <c:v>-2.6645352591003757E-15</c:v>
                </c:pt>
                <c:pt idx="1">
                  <c:v>6.817596986280134</c:v>
                </c:pt>
                <c:pt idx="2">
                  <c:v>12.391362637548166</c:v>
                </c:pt>
                <c:pt idx="3">
                  <c:v>18.467687192116141</c:v>
                </c:pt>
                <c:pt idx="4">
                  <c:v>24.613827210979917</c:v>
                </c:pt>
                <c:pt idx="5">
                  <c:v>30.009272918348312</c:v>
                </c:pt>
                <c:pt idx="6">
                  <c:v>34.570956339949113</c:v>
                </c:pt>
                <c:pt idx="7">
                  <c:v>38.409289777132052</c:v>
                </c:pt>
                <c:pt idx="8">
                  <c:v>43.06629452508524</c:v>
                </c:pt>
                <c:pt idx="9">
                  <c:v>47.683974772612366</c:v>
                </c:pt>
                <c:pt idx="10">
                  <c:v>51.889211700636757</c:v>
                </c:pt>
                <c:pt idx="11">
                  <c:v>56.347879048655585</c:v>
                </c:pt>
                <c:pt idx="12">
                  <c:v>60.805056790749305</c:v>
                </c:pt>
                <c:pt idx="13">
                  <c:v>64.05965937047425</c:v>
                </c:pt>
                <c:pt idx="14">
                  <c:v>68.722823294737381</c:v>
                </c:pt>
                <c:pt idx="15">
                  <c:v>73.018474010244773</c:v>
                </c:pt>
                <c:pt idx="16">
                  <c:v>77.313618696484482</c:v>
                </c:pt>
                <c:pt idx="17">
                  <c:v>81.802481002457498</c:v>
                </c:pt>
                <c:pt idx="18">
                  <c:v>85.08573326323237</c:v>
                </c:pt>
                <c:pt idx="19">
                  <c:v>87.949528214602083</c:v>
                </c:pt>
                <c:pt idx="20">
                  <c:v>90.480371014857397</c:v>
                </c:pt>
                <c:pt idx="21">
                  <c:v>91.171019536226169</c:v>
                </c:pt>
                <c:pt idx="22">
                  <c:v>91.990649066903373</c:v>
                </c:pt>
                <c:pt idx="23">
                  <c:v>93.141989009595008</c:v>
                </c:pt>
                <c:pt idx="24">
                  <c:v>95.061384504363971</c:v>
                </c:pt>
                <c:pt idx="25">
                  <c:v>97.108858683491775</c:v>
                </c:pt>
                <c:pt idx="26">
                  <c:v>98.49173725230655</c:v>
                </c:pt>
                <c:pt idx="27">
                  <c:v>100.20647865551042</c:v>
                </c:pt>
                <c:pt idx="28">
                  <c:v>101.61356845685033</c:v>
                </c:pt>
                <c:pt idx="29">
                  <c:v>104.72153487823181</c:v>
                </c:pt>
                <c:pt idx="30">
                  <c:v>108.40280121359619</c:v>
                </c:pt>
                <c:pt idx="31">
                  <c:v>112.90184926840656</c:v>
                </c:pt>
                <c:pt idx="32">
                  <c:v>117.40098269872617</c:v>
                </c:pt>
                <c:pt idx="33">
                  <c:v>122.30941981136776</c:v>
                </c:pt>
                <c:pt idx="34">
                  <c:v>126.40031649425511</c:v>
                </c:pt>
                <c:pt idx="35">
                  <c:v>131.71818810056629</c:v>
                </c:pt>
                <c:pt idx="36">
                  <c:v>135.60591435402048</c:v>
                </c:pt>
                <c:pt idx="37">
                  <c:v>140.1243015669703</c:v>
                </c:pt>
                <c:pt idx="38">
                  <c:v>144.45251912140776</c:v>
                </c:pt>
                <c:pt idx="39">
                  <c:v>148.30036646878321</c:v>
                </c:pt>
                <c:pt idx="40">
                  <c:v>151.85847981711805</c:v>
                </c:pt>
                <c:pt idx="41">
                  <c:v>154.8812708827293</c:v>
                </c:pt>
                <c:pt idx="42">
                  <c:v>159.4512432402509</c:v>
                </c:pt>
                <c:pt idx="43">
                  <c:v>167.49185265748832</c:v>
                </c:pt>
                <c:pt idx="44">
                  <c:v>172.80841957264309</c:v>
                </c:pt>
                <c:pt idx="45">
                  <c:v>178.15974607786023</c:v>
                </c:pt>
                <c:pt idx="46">
                  <c:v>183.14578096227723</c:v>
                </c:pt>
                <c:pt idx="47">
                  <c:v>189.70509514444004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A1C-4454-8B29-E20BF3CB85C3}"/>
            </c:ext>
          </c:extLst>
        </c:ser>
        <c:ser>
          <c:idx val="8"/>
          <c:order val="8"/>
          <c:tx>
            <c:v>Minuszeiten</c:v>
          </c:tx>
          <c:spPr>
            <a:ln w="3175">
              <a:solidFill>
                <a:srgbClr val="FFCC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Hilfsdaten!$M$4:$M$51</c:f>
              <c:numCache>
                <c:formatCode>0.00</c:formatCode>
                <c:ptCount val="48"/>
                <c:pt idx="0">
                  <c:v>6.1311032310797628</c:v>
                </c:pt>
                <c:pt idx="1">
                  <c:v>12.130550866884974</c:v>
                </c:pt>
                <c:pt idx="2">
                  <c:v>16.886161608204191</c:v>
                </c:pt>
                <c:pt idx="3">
                  <c:v>21.327355149387131</c:v>
                </c:pt>
                <c:pt idx="4">
                  <c:v>25.838159625446508</c:v>
                </c:pt>
                <c:pt idx="5">
                  <c:v>28.37130357770306</c:v>
                </c:pt>
                <c:pt idx="6">
                  <c:v>30.070862282515947</c:v>
                </c:pt>
                <c:pt idx="7">
                  <c:v>31.455827399996991</c:v>
                </c:pt>
                <c:pt idx="8">
                  <c:v>32.432890850835662</c:v>
                </c:pt>
                <c:pt idx="9">
                  <c:v>32.962023230381305</c:v>
                </c:pt>
                <c:pt idx="10">
                  <c:v>33.896041244677292</c:v>
                </c:pt>
                <c:pt idx="11">
                  <c:v>35.083652993040232</c:v>
                </c:pt>
                <c:pt idx="12">
                  <c:v>36.269533741957986</c:v>
                </c:pt>
                <c:pt idx="13">
                  <c:v>37.888285576536759</c:v>
                </c:pt>
                <c:pt idx="14">
                  <c:v>39.689015297847305</c:v>
                </c:pt>
                <c:pt idx="15">
                  <c:v>40.304427059333875</c:v>
                </c:pt>
                <c:pt idx="16">
                  <c:v>41.736998993276359</c:v>
                </c:pt>
                <c:pt idx="17">
                  <c:v>42.954236296027545</c:v>
                </c:pt>
                <c:pt idx="18">
                  <c:v>42.965966541845063</c:v>
                </c:pt>
                <c:pt idx="19">
                  <c:v>43.375639182404029</c:v>
                </c:pt>
                <c:pt idx="20">
                  <c:v>44.270511025226398</c:v>
                </c:pt>
                <c:pt idx="21">
                  <c:v>44.244844926390556</c:v>
                </c:pt>
                <c:pt idx="22">
                  <c:v>43.275239678252774</c:v>
                </c:pt>
                <c:pt idx="23">
                  <c:v>42.637102194373313</c:v>
                </c:pt>
                <c:pt idx="24">
                  <c:v>42.767173420550108</c:v>
                </c:pt>
                <c:pt idx="25">
                  <c:v>43.025271839785319</c:v>
                </c:pt>
                <c:pt idx="26">
                  <c:v>43.691757357291209</c:v>
                </c:pt>
                <c:pt idx="27">
                  <c:v>43.770370167451546</c:v>
                </c:pt>
                <c:pt idx="28">
                  <c:v>43.132326525743252</c:v>
                </c:pt>
                <c:pt idx="29">
                  <c:v>41.741074507666781</c:v>
                </c:pt>
                <c:pt idx="30">
                  <c:v>40.514062876845145</c:v>
                </c:pt>
                <c:pt idx="31">
                  <c:v>40.513120936964867</c:v>
                </c:pt>
                <c:pt idx="32">
                  <c:v>38.876765450897153</c:v>
                </c:pt>
                <c:pt idx="33">
                  <c:v>37.648736957546788</c:v>
                </c:pt>
                <c:pt idx="34">
                  <c:v>37.237975319049269</c:v>
                </c:pt>
                <c:pt idx="35">
                  <c:v>36.826679856716254</c:v>
                </c:pt>
                <c:pt idx="36">
                  <c:v>34.166350387957124</c:v>
                </c:pt>
                <c:pt idx="37">
                  <c:v>32.5423745085115</c:v>
                </c:pt>
                <c:pt idx="38">
                  <c:v>31.543690348806194</c:v>
                </c:pt>
                <c:pt idx="39">
                  <c:v>29.241441083980703</c:v>
                </c:pt>
                <c:pt idx="40">
                  <c:v>28.273217957425203</c:v>
                </c:pt>
                <c:pt idx="41">
                  <c:v>26.750137455519081</c:v>
                </c:pt>
                <c:pt idx="42">
                  <c:v>25.509544402219973</c:v>
                </c:pt>
                <c:pt idx="43">
                  <c:v>19.51794899558999</c:v>
                </c:pt>
                <c:pt idx="44">
                  <c:v>15.738154142362731</c:v>
                </c:pt>
                <c:pt idx="45">
                  <c:v>11.923393887036895</c:v>
                </c:pt>
                <c:pt idx="46">
                  <c:v>7.9619420893377111</c:v>
                </c:pt>
                <c:pt idx="47">
                  <c:v>3.1951718509594684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A1C-4454-8B29-E20BF3CB85C3}"/>
            </c:ext>
          </c:extLst>
        </c:ser>
        <c:ser>
          <c:idx val="9"/>
          <c:order val="9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Hilfsdaten!$N$4:$N$51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28.604297814258164</c:v>
                </c:pt>
                <c:pt idx="19">
                  <c:v>22.120667590039286</c:v>
                </c:pt>
                <c:pt idx="20">
                  <c:v>16.995212476370753</c:v>
                </c:pt>
                <c:pt idx="21">
                  <c:v>12.76106507140079</c:v>
                </c:pt>
                <c:pt idx="22">
                  <c:v>7.3902755994971532</c:v>
                </c:pt>
                <c:pt idx="23">
                  <c:v>1.9004951954129641</c:v>
                </c:pt>
                <c:pt idx="24">
                  <c:v>2.3848810189594212</c:v>
                </c:pt>
                <c:pt idx="25">
                  <c:v>8.3211766715041691</c:v>
                </c:pt>
                <c:pt idx="26">
                  <c:v>13.352767348335838</c:v>
                </c:pt>
                <c:pt idx="27">
                  <c:v>17.353905403007726</c:v>
                </c:pt>
                <c:pt idx="28">
                  <c:v>21.969582831201912</c:v>
                </c:pt>
                <c:pt idx="29">
                  <c:v>29.620850184738174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A1C-4454-8B29-E20BF3CB85C3}"/>
            </c:ext>
          </c:extLst>
        </c:ser>
        <c:ser>
          <c:idx val="10"/>
          <c:order val="10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Hilfsdaten!$O$4:$O$51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22.751144654340436</c:v>
                </c:pt>
                <c:pt idx="44">
                  <c:v>18.202963770149424</c:v>
                </c:pt>
                <c:pt idx="45">
                  <c:v>13.619920389877933</c:v>
                </c:pt>
                <c:pt idx="46">
                  <c:v>9.1461770488198368</c:v>
                </c:pt>
                <c:pt idx="47">
                  <c:v>3.4831348385493186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A1C-4454-8B29-E20BF3CB85C3}"/>
            </c:ext>
          </c:extLst>
        </c:ser>
        <c:ser>
          <c:idx val="11"/>
          <c:order val="11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Hilfsdaten!$P$4:$P$51</c:f>
              <c:numCache>
                <c:formatCode>0.00</c:formatCode>
                <c:ptCount val="48"/>
                <c:pt idx="0">
                  <c:v>6.4190662186696157</c:v>
                </c:pt>
                <c:pt idx="1">
                  <c:v>12.827588529712287</c:v>
                </c:pt>
                <c:pt idx="2">
                  <c:v>17.992276726005908</c:v>
                </c:pt>
                <c:pt idx="3">
                  <c:v>23.251035773881362</c:v>
                </c:pt>
                <c:pt idx="4">
                  <c:v>28.579508021342949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A1C-4454-8B29-E20BF3CB85C3}"/>
            </c:ext>
          </c:extLst>
        </c:ser>
        <c:ser>
          <c:idx val="12"/>
          <c:order val="12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Hilfsdaten!$Q$4:$Q$51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24.613827210979917</c:v>
                </c:pt>
                <c:pt idx="5">
                  <c:v>30.009272918348312</c:v>
                </c:pt>
                <c:pt idx="6">
                  <c:v>34.570956339949113</c:v>
                </c:pt>
                <c:pt idx="7">
                  <c:v>38.409289777132052</c:v>
                </c:pt>
                <c:pt idx="8">
                  <c:v>43.06629452508524</c:v>
                </c:pt>
                <c:pt idx="9">
                  <c:v>47.683974772612366</c:v>
                </c:pt>
                <c:pt idx="10">
                  <c:v>51.889211700636757</c:v>
                </c:pt>
                <c:pt idx="11">
                  <c:v>56.347879048655585</c:v>
                </c:pt>
                <c:pt idx="12">
                  <c:v>60.805056790749305</c:v>
                </c:pt>
                <c:pt idx="13">
                  <c:v>64.05965937047425</c:v>
                </c:pt>
                <c:pt idx="14">
                  <c:v>68.722823294737381</c:v>
                </c:pt>
                <c:pt idx="15">
                  <c:v>73.018474010244773</c:v>
                </c:pt>
                <c:pt idx="16">
                  <c:v>77.313618696484482</c:v>
                </c:pt>
                <c:pt idx="17">
                  <c:v>81.802481002457498</c:v>
                </c:pt>
                <c:pt idx="18">
                  <c:v>85.08573326323237</c:v>
                </c:pt>
                <c:pt idx="19">
                  <c:v>87.949528214602083</c:v>
                </c:pt>
                <c:pt idx="20">
                  <c:v>90.480371014857397</c:v>
                </c:pt>
                <c:pt idx="21">
                  <c:v>91.171019536226169</c:v>
                </c:pt>
                <c:pt idx="22">
                  <c:v>91.990649066903373</c:v>
                </c:pt>
                <c:pt idx="23">
                  <c:v>93.141989009595008</c:v>
                </c:pt>
                <c:pt idx="24">
                  <c:v>95.061384504363971</c:v>
                </c:pt>
                <c:pt idx="25">
                  <c:v>97.108858683491775</c:v>
                </c:pt>
                <c:pt idx="26">
                  <c:v>98.49173725230655</c:v>
                </c:pt>
                <c:pt idx="27">
                  <c:v>100.20647865551042</c:v>
                </c:pt>
                <c:pt idx="28">
                  <c:v>101.61356845685033</c:v>
                </c:pt>
                <c:pt idx="29">
                  <c:v>104.72153487823181</c:v>
                </c:pt>
                <c:pt idx="30">
                  <c:v>108.40280121359619</c:v>
                </c:pt>
                <c:pt idx="31">
                  <c:v>112.90184926840656</c:v>
                </c:pt>
                <c:pt idx="32">
                  <c:v>117.40098269872617</c:v>
                </c:pt>
                <c:pt idx="33">
                  <c:v>122.30941981136776</c:v>
                </c:pt>
                <c:pt idx="34">
                  <c:v>126.40031649425511</c:v>
                </c:pt>
                <c:pt idx="35">
                  <c:v>131.71818810056629</c:v>
                </c:pt>
                <c:pt idx="36">
                  <c:v>135.60591435402048</c:v>
                </c:pt>
                <c:pt idx="37">
                  <c:v>140.1243015669703</c:v>
                </c:pt>
                <c:pt idx="38">
                  <c:v>144.45251912140776</c:v>
                </c:pt>
                <c:pt idx="39">
                  <c:v>148.30036646878321</c:v>
                </c:pt>
                <c:pt idx="40">
                  <c:v>151.85847981711805</c:v>
                </c:pt>
                <c:pt idx="41">
                  <c:v>154.8812708827293</c:v>
                </c:pt>
                <c:pt idx="42">
                  <c:v>159.4512432402509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A1C-4454-8B29-E20BF3CB85C3}"/>
            </c:ext>
          </c:extLst>
        </c:ser>
        <c:ser>
          <c:idx val="13"/>
          <c:order val="13"/>
          <c:tx>
            <c:v>Bereich ti1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FF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Hilfsdaten!$R$4:$R$51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25.838159625446508</c:v>
                </c:pt>
                <c:pt idx="5">
                  <c:v>28.37130357770306</c:v>
                </c:pt>
                <c:pt idx="6">
                  <c:v>30.070862282515947</c:v>
                </c:pt>
                <c:pt idx="7">
                  <c:v>31.455827399996991</c:v>
                </c:pt>
                <c:pt idx="8">
                  <c:v>32.432890850835662</c:v>
                </c:pt>
                <c:pt idx="9">
                  <c:v>32.962023230381305</c:v>
                </c:pt>
                <c:pt idx="10">
                  <c:v>33.896041244677292</c:v>
                </c:pt>
                <c:pt idx="11">
                  <c:v>35.083652993040232</c:v>
                </c:pt>
                <c:pt idx="12">
                  <c:v>36.269533741957986</c:v>
                </c:pt>
                <c:pt idx="13">
                  <c:v>37.888285576536759</c:v>
                </c:pt>
                <c:pt idx="14">
                  <c:v>39.689015297847305</c:v>
                </c:pt>
                <c:pt idx="15">
                  <c:v>40.304427059333875</c:v>
                </c:pt>
                <c:pt idx="16">
                  <c:v>41.736998993276359</c:v>
                </c:pt>
                <c:pt idx="17">
                  <c:v>42.954236296027545</c:v>
                </c:pt>
                <c:pt idx="18">
                  <c:v>42.965966541845063</c:v>
                </c:pt>
                <c:pt idx="19">
                  <c:v>43.375639182404029</c:v>
                </c:pt>
                <c:pt idx="20">
                  <c:v>44.270511025226398</c:v>
                </c:pt>
                <c:pt idx="21">
                  <c:v>44.244844926390556</c:v>
                </c:pt>
                <c:pt idx="22">
                  <c:v>43.275239678252774</c:v>
                </c:pt>
                <c:pt idx="23">
                  <c:v>42.637102194373313</c:v>
                </c:pt>
                <c:pt idx="24">
                  <c:v>42.767173420550108</c:v>
                </c:pt>
                <c:pt idx="25">
                  <c:v>43.025271839785319</c:v>
                </c:pt>
                <c:pt idx="26">
                  <c:v>43.691757357291209</c:v>
                </c:pt>
                <c:pt idx="27">
                  <c:v>43.770370167451546</c:v>
                </c:pt>
                <c:pt idx="28">
                  <c:v>43.132326525743252</c:v>
                </c:pt>
                <c:pt idx="29">
                  <c:v>41.741074507666781</c:v>
                </c:pt>
                <c:pt idx="30">
                  <c:v>40.514062876845145</c:v>
                </c:pt>
                <c:pt idx="31">
                  <c:v>40.513120936964867</c:v>
                </c:pt>
                <c:pt idx="32">
                  <c:v>38.876765450897153</c:v>
                </c:pt>
                <c:pt idx="33">
                  <c:v>37.648736957546788</c:v>
                </c:pt>
                <c:pt idx="34">
                  <c:v>37.237975319049269</c:v>
                </c:pt>
                <c:pt idx="35">
                  <c:v>36.826679856716254</c:v>
                </c:pt>
                <c:pt idx="36">
                  <c:v>34.166350387957124</c:v>
                </c:pt>
                <c:pt idx="37">
                  <c:v>32.5423745085115</c:v>
                </c:pt>
                <c:pt idx="38">
                  <c:v>31.543690348806194</c:v>
                </c:pt>
                <c:pt idx="39">
                  <c:v>29.241441083980703</c:v>
                </c:pt>
                <c:pt idx="40">
                  <c:v>28.273217957425203</c:v>
                </c:pt>
                <c:pt idx="41">
                  <c:v>26.750137455519081</c:v>
                </c:pt>
                <c:pt idx="42">
                  <c:v>25.509544402219973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A1C-4454-8B29-E20BF3CB85C3}"/>
            </c:ext>
          </c:extLst>
        </c:ser>
        <c:ser>
          <c:idx val="14"/>
          <c:order val="14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Hilfsdaten!$S$4:$S$51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A1C-4454-8B29-E20BF3CB85C3}"/>
            </c:ext>
          </c:extLst>
        </c:ser>
        <c:ser>
          <c:idx val="15"/>
          <c:order val="15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Hilfsdaten!$T$4:$T$51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A1C-4454-8B29-E20BF3CB85C3}"/>
            </c:ext>
          </c:extLst>
        </c:ser>
        <c:ser>
          <c:idx val="16"/>
          <c:order val="16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Hilfsdaten!$U$4:$U$51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A1C-4454-8B29-E20BF3CB85C3}"/>
            </c:ext>
          </c:extLst>
        </c:ser>
        <c:ser>
          <c:idx val="17"/>
          <c:order val="17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Hilfsdaten!$V$4:$V$51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A1C-4454-8B29-E20BF3CB8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626112"/>
        <c:axId val="219633536"/>
      </c:scatterChart>
      <c:valAx>
        <c:axId val="219626112"/>
        <c:scaling>
          <c:orientation val="minMax"/>
          <c:max val="20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Entfernung in m</a:t>
                </a:r>
              </a:p>
            </c:rich>
          </c:tx>
          <c:layout>
            <c:manualLayout>
              <c:xMode val="edge"/>
              <c:yMode val="edge"/>
              <c:x val="0.40512851278205608"/>
              <c:y val="0.95501339324872303"/>
            </c:manualLayout>
          </c:layout>
          <c:overlay val="0"/>
          <c:spPr>
            <a:noFill/>
            <a:ln w="25400">
              <a:noFill/>
            </a:ln>
          </c:spPr>
        </c:title>
        <c:numFmt formatCode="Standard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19633536"/>
        <c:crosses val="autoZero"/>
        <c:crossBetween val="midCat"/>
        <c:majorUnit val="5"/>
      </c:valAx>
      <c:valAx>
        <c:axId val="21963353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Zeit in ms</a:t>
                </a:r>
              </a:p>
            </c:rich>
          </c:tx>
          <c:layout>
            <c:manualLayout>
              <c:xMode val="edge"/>
              <c:yMode val="edge"/>
              <c:x val="5.8608058608058608E-3"/>
              <c:y val="0.457583817446983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1962611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ayout>
        <c:manualLayout>
          <c:xMode val="edge"/>
          <c:yMode val="edge"/>
          <c:x val="0.89304090834799499"/>
          <c:y val="0.14395900383917307"/>
          <c:w val="8.1318758232144073E-2"/>
          <c:h val="0.3521853598634361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Laufzeitkurven!$C$2</c:f>
          <c:strCache>
            <c:ptCount val="1"/>
            <c:pt idx="0">
              <c:v>LVL 150</c:v>
            </c:pt>
          </c:strCache>
        </c:strRef>
      </c:tx>
      <c:layout>
        <c:manualLayout>
          <c:xMode val="edge"/>
          <c:yMode val="edge"/>
          <c:x val="0.41167192429022081"/>
          <c:y val="1.076716016150740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5.7040328793913977E-2"/>
          <c:y val="4.4821239893817061E-2"/>
          <c:w val="0.82097791798107256"/>
          <c:h val="0.83580080753701214"/>
        </c:manualLayout>
      </c:layout>
      <c:scatterChart>
        <c:scatterStyle val="lineMarker"/>
        <c:varyColors val="0"/>
        <c:ser>
          <c:idx val="0"/>
          <c:order val="0"/>
          <c:tx>
            <c:v>Fern ++</c:v>
          </c:tx>
          <c:spPr>
            <a:ln w="25400">
              <a:solidFill>
                <a:srgbClr val="C1DF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1DFFF"/>
              </a:solidFill>
              <a:ln>
                <a:solidFill>
                  <a:srgbClr val="C1D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Berechnung!$Q$3:$Q$50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8F-4B90-B562-B9EC4C91487C}"/>
            </c:ext>
          </c:extLst>
        </c:ser>
        <c:ser>
          <c:idx val="1"/>
          <c:order val="1"/>
          <c:tx>
            <c:v>Fern +</c:v>
          </c:tx>
          <c:spPr>
            <a:ln w="25400">
              <a:solidFill>
                <a:srgbClr val="00CC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Berechnung!$L$3:$L$50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8F-4B90-B562-B9EC4C91487C}"/>
            </c:ext>
          </c:extLst>
        </c:ser>
        <c:ser>
          <c:idx val="4"/>
          <c:order val="2"/>
          <c:tx>
            <c:v>Off-end +</c:v>
          </c:tx>
          <c:spPr>
            <a:ln w="25400">
              <a:solidFill>
                <a:srgbClr val="0066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66FF"/>
              </a:solidFill>
              <a:ln>
                <a:solidFill>
                  <a:srgbClr val="0066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Berechnung!$F$3:$F$50</c:f>
              <c:numCache>
                <c:formatCode>0.00</c:formatCode>
                <c:ptCount val="48"/>
                <c:pt idx="0">
                  <c:v>6.4190662186696157</c:v>
                </c:pt>
                <c:pt idx="1">
                  <c:v>12.827588529712287</c:v>
                </c:pt>
                <c:pt idx="2">
                  <c:v>17.992276726005908</c:v>
                </c:pt>
                <c:pt idx="3">
                  <c:v>23.251035773881362</c:v>
                </c:pt>
                <c:pt idx="4">
                  <c:v>28.579508021342949</c:v>
                </c:pt>
                <c:pt idx="5">
                  <c:v>32.543802851155412</c:v>
                </c:pt>
                <c:pt idx="6">
                  <c:v>35.674423914362258</c:v>
                </c:pt>
                <c:pt idx="7">
                  <c:v>38.28607319169425</c:v>
                </c:pt>
                <c:pt idx="8">
                  <c:v>41.103107291090183</c:v>
                </c:pt>
                <c:pt idx="9">
                  <c:v>43.676513604626571</c:v>
                </c:pt>
                <c:pt idx="10">
                  <c:v>46.24614107578676</c:v>
                </c:pt>
                <c:pt idx="11">
                  <c:v>49.069280623977647</c:v>
                </c:pt>
                <c:pt idx="12">
                  <c:v>51.89080986948337</c:v>
                </c:pt>
                <c:pt idx="13">
                  <c:v>54.327487076635236</c:v>
                </c:pt>
                <c:pt idx="14">
                  <c:v>57.559433899422075</c:v>
                </c:pt>
                <c:pt idx="15">
                  <c:v>60.014965137919063</c:v>
                </c:pt>
                <c:pt idx="16">
                  <c:v>62.878823448010159</c:v>
                </c:pt>
                <c:pt idx="17">
                  <c:v>65.731873252372253</c:v>
                </c:pt>
                <c:pt idx="18">
                  <c:v>67.379364505668448</c:v>
                </c:pt>
                <c:pt idx="19">
                  <c:v>69.01609830163278</c:v>
                </c:pt>
                <c:pt idx="20">
                  <c:v>70.728955623171629</c:v>
                </c:pt>
                <c:pt idx="21">
                  <c:v>71.061446834438087</c:v>
                </c:pt>
                <c:pt idx="22">
                  <c:v>70.986458975707805</c:v>
                </c:pt>
                <c:pt idx="23">
                  <c:v>71.243060205113892</c:v>
                </c:pt>
                <c:pt idx="24">
                  <c:v>72.267793565586771</c:v>
                </c:pt>
                <c:pt idx="25">
                  <c:v>73.420579864768285</c:v>
                </c:pt>
                <c:pt idx="26">
                  <c:v>74.445261907928611</c:v>
                </c:pt>
                <c:pt idx="27">
                  <c:v>75.341939014610716</c:v>
                </c:pt>
                <c:pt idx="28">
                  <c:v>75.726462094426523</c:v>
                </c:pt>
                <c:pt idx="29">
                  <c:v>76.584819296079033</c:v>
                </c:pt>
                <c:pt idx="30">
                  <c:v>77.8119466483504</c:v>
                </c:pt>
                <c:pt idx="31">
                  <c:v>80.060999705815448</c:v>
                </c:pt>
                <c:pt idx="32">
                  <c:v>81.492388677941392</c:v>
                </c:pt>
                <c:pt idx="33">
                  <c:v>83.332592987587006</c:v>
                </c:pt>
                <c:pt idx="34">
                  <c:v>85.17266050978192</c:v>
                </c:pt>
                <c:pt idx="35">
                  <c:v>87.625948581771013</c:v>
                </c:pt>
                <c:pt idx="36">
                  <c:v>88.239646974118543</c:v>
                </c:pt>
                <c:pt idx="37">
                  <c:v>89.686852640870654</c:v>
                </c:pt>
                <c:pt idx="38">
                  <c:v>91.351619338236702</c:v>
                </c:pt>
                <c:pt idx="39">
                  <c:v>92.124418379511695</c:v>
                </c:pt>
                <c:pt idx="40">
                  <c:v>93.419363490401366</c:v>
                </c:pt>
                <c:pt idx="41">
                  <c:v>94.169218772253927</c:v>
                </c:pt>
                <c:pt idx="42">
                  <c:v>95.833908424365177</c:v>
                </c:pt>
                <c:pt idx="43">
                  <c:v>96.858415429668895</c:v>
                </c:pt>
                <c:pt idx="44">
                  <c:v>97.626801460632649</c:v>
                </c:pt>
                <c:pt idx="45">
                  <c:v>98.395084585578303</c:v>
                </c:pt>
                <c:pt idx="46">
                  <c:v>98.907376128937216</c:v>
                </c:pt>
                <c:pt idx="47">
                  <c:v>99.803648100829491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8F-4B90-B562-B9EC4C91487C}"/>
            </c:ext>
          </c:extLst>
        </c:ser>
        <c:ser>
          <c:idx val="5"/>
          <c:order val="3"/>
          <c:tx>
            <c:v>Zentral</c:v>
          </c:tx>
          <c:spPr>
            <a:ln w="25400">
              <a:solidFill>
                <a:srgbClr val="00CC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66"/>
              </a:solidFill>
              <a:ln>
                <a:solidFill>
                  <a:srgbClr val="00CC66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(Berechnung!$C$3:$C$26,Berechnung!$D$27:$D$50)</c:f>
              <c:numCache>
                <c:formatCode>0.00</c:formatCode>
                <c:ptCount val="48"/>
                <c:pt idx="0">
                  <c:v>69.428671423749449</c:v>
                </c:pt>
                <c:pt idx="1">
                  <c:v>68.814987134317761</c:v>
                </c:pt>
                <c:pt idx="2">
                  <c:v>67.996800790788086</c:v>
                </c:pt>
                <c:pt idx="3">
                  <c:v>67.178576839881984</c:v>
                </c:pt>
                <c:pt idx="4">
                  <c:v>66.360411079834336</c:v>
                </c:pt>
                <c:pt idx="5">
                  <c:v>63.701857980550059</c:v>
                </c:pt>
                <c:pt idx="6">
                  <c:v>61.860727333190077</c:v>
                </c:pt>
                <c:pt idx="7">
                  <c:v>59.814876630525745</c:v>
                </c:pt>
                <c:pt idx="8">
                  <c:v>57.155685873949466</c:v>
                </c:pt>
                <c:pt idx="9">
                  <c:v>54.496013656304797</c:v>
                </c:pt>
                <c:pt idx="10">
                  <c:v>51.223012232258327</c:v>
                </c:pt>
                <c:pt idx="11">
                  <c:v>48.766578505085107</c:v>
                </c:pt>
                <c:pt idx="12">
                  <c:v>46.104765379668315</c:v>
                </c:pt>
                <c:pt idx="13">
                  <c:v>43.645850818582559</c:v>
                </c:pt>
                <c:pt idx="14">
                  <c:v>41.057076657646924</c:v>
                </c:pt>
                <c:pt idx="15">
                  <c:v>38.019784445143436</c:v>
                </c:pt>
                <c:pt idx="16">
                  <c:v>34.978524959283966</c:v>
                </c:pt>
                <c:pt idx="17">
                  <c:v>31.929089868318474</c:v>
                </c:pt>
                <c:pt idx="18">
                  <c:v>28.604297814258164</c:v>
                </c:pt>
                <c:pt idx="19">
                  <c:v>22.120667590039286</c:v>
                </c:pt>
                <c:pt idx="20">
                  <c:v>16.995212476370753</c:v>
                </c:pt>
                <c:pt idx="21">
                  <c:v>12.76106507140079</c:v>
                </c:pt>
                <c:pt idx="22">
                  <c:v>7.3902755994971532</c:v>
                </c:pt>
                <c:pt idx="23">
                  <c:v>1.9004951954129641</c:v>
                </c:pt>
                <c:pt idx="24">
                  <c:v>2.3848810189594212</c:v>
                </c:pt>
                <c:pt idx="25">
                  <c:v>8.3211766715041691</c:v>
                </c:pt>
                <c:pt idx="26">
                  <c:v>13.352767348335838</c:v>
                </c:pt>
                <c:pt idx="27">
                  <c:v>17.353905403007726</c:v>
                </c:pt>
                <c:pt idx="28">
                  <c:v>21.969582831201912</c:v>
                </c:pt>
                <c:pt idx="29">
                  <c:v>29.620850184738174</c:v>
                </c:pt>
                <c:pt idx="30">
                  <c:v>33.151683807443028</c:v>
                </c:pt>
                <c:pt idx="31">
                  <c:v>36.375698080079296</c:v>
                </c:pt>
                <c:pt idx="32">
                  <c:v>38.928740474674221</c:v>
                </c:pt>
                <c:pt idx="33">
                  <c:v>40.912535514049708</c:v>
                </c:pt>
                <c:pt idx="34">
                  <c:v>43.548833172902349</c:v>
                </c:pt>
                <c:pt idx="35">
                  <c:v>46.089075974748049</c:v>
                </c:pt>
                <c:pt idx="36">
                  <c:v>48.153615633115365</c:v>
                </c:pt>
                <c:pt idx="37">
                  <c:v>50.814198891165219</c:v>
                </c:pt>
                <c:pt idx="38">
                  <c:v>53.474407075664928</c:v>
                </c:pt>
                <c:pt idx="39">
                  <c:v>56.427025729417863</c:v>
                </c:pt>
                <c:pt idx="40">
                  <c:v>60.183171813374464</c:v>
                </c:pt>
                <c:pt idx="41">
                  <c:v>62.71911402026759</c:v>
                </c:pt>
                <c:pt idx="42">
                  <c:v>66.099433238541906</c:v>
                </c:pt>
                <c:pt idx="43">
                  <c:v>67.321124484269745</c:v>
                </c:pt>
                <c:pt idx="44">
                  <c:v>68.448043970305875</c:v>
                </c:pt>
                <c:pt idx="45">
                  <c:v>69.293375801382254</c:v>
                </c:pt>
                <c:pt idx="46">
                  <c:v>70.245651939639203</c:v>
                </c:pt>
                <c:pt idx="47">
                  <c:v>70.655080144554915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8F-4B90-B562-B9EC4C91487C}"/>
            </c:ext>
          </c:extLst>
        </c:ser>
        <c:ser>
          <c:idx val="6"/>
          <c:order val="4"/>
          <c:tx>
            <c:v>Off-end -</c:v>
          </c:tx>
          <c:spPr>
            <a:ln w="25400">
              <a:solidFill>
                <a:srgbClr val="980098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980098"/>
              </a:solidFill>
              <a:ln>
                <a:solidFill>
                  <a:srgbClr val="980098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Berechnung!$E$3:$E$50</c:f>
              <c:numCache>
                <c:formatCode>0.00</c:formatCode>
                <c:ptCount val="48"/>
                <c:pt idx="0">
                  <c:v>100.91660299598189</c:v>
                </c:pt>
                <c:pt idx="1">
                  <c:v>100.50752832074443</c:v>
                </c:pt>
                <c:pt idx="2">
                  <c:v>100.09845086577002</c:v>
                </c:pt>
                <c:pt idx="3">
                  <c:v>99.280885359077502</c:v>
                </c:pt>
                <c:pt idx="4">
                  <c:v>98.463217587675302</c:v>
                </c:pt>
                <c:pt idx="5">
                  <c:v>97.032066710119381</c:v>
                </c:pt>
                <c:pt idx="6">
                  <c:v>95.601004351725422</c:v>
                </c:pt>
                <c:pt idx="7">
                  <c:v>94.374320191874475</c:v>
                </c:pt>
                <c:pt idx="8">
                  <c:v>92.534349543317219</c:v>
                </c:pt>
                <c:pt idx="9">
                  <c:v>90.490075609326482</c:v>
                </c:pt>
                <c:pt idx="10">
                  <c:v>88.85446615246228</c:v>
                </c:pt>
                <c:pt idx="11">
                  <c:v>87.218938352634339</c:v>
                </c:pt>
                <c:pt idx="12">
                  <c:v>85.583289856046349</c:v>
                </c:pt>
                <c:pt idx="13">
                  <c:v>84.765364483473263</c:v>
                </c:pt>
                <c:pt idx="14">
                  <c:v>83.334147381996971</c:v>
                </c:pt>
                <c:pt idx="15">
                  <c:v>81.494027904986567</c:v>
                </c:pt>
                <c:pt idx="16">
                  <c:v>80.062741528837947</c:v>
                </c:pt>
                <c:pt idx="17">
                  <c:v>78.426929027227033</c:v>
                </c:pt>
                <c:pt idx="18">
                  <c:v>76.791168019748355</c:v>
                </c:pt>
                <c:pt idx="19">
                  <c:v>75.564106864342975</c:v>
                </c:pt>
                <c:pt idx="20">
                  <c:v>74.746121385626509</c:v>
                </c:pt>
                <c:pt idx="21">
                  <c:v>74.387964075524195</c:v>
                </c:pt>
                <c:pt idx="22">
                  <c:v>73.493346686116709</c:v>
                </c:pt>
                <c:pt idx="23">
                  <c:v>72.598607972831161</c:v>
                </c:pt>
                <c:pt idx="24">
                  <c:v>71.703945838535077</c:v>
                </c:pt>
                <c:pt idx="25">
                  <c:v>70.809257958588788</c:v>
                </c:pt>
                <c:pt idx="26">
                  <c:v>70.451061432934338</c:v>
                </c:pt>
                <c:pt idx="27">
                  <c:v>69.63299713641257</c:v>
                </c:pt>
                <c:pt idx="28">
                  <c:v>68.610430414888469</c:v>
                </c:pt>
                <c:pt idx="29">
                  <c:v>66.360821195159502</c:v>
                </c:pt>
                <c:pt idx="30">
                  <c:v>63.906682212066485</c:v>
                </c:pt>
                <c:pt idx="31">
                  <c:v>61.656687214721167</c:v>
                </c:pt>
                <c:pt idx="32">
                  <c:v>58.588942756527494</c:v>
                </c:pt>
                <c:pt idx="33">
                  <c:v>55.520709953531515</c:v>
                </c:pt>
                <c:pt idx="34">
                  <c:v>53.269880792839103</c:v>
                </c:pt>
                <c:pt idx="35">
                  <c:v>50.405297258516981</c:v>
                </c:pt>
                <c:pt idx="36">
                  <c:v>47.131269397410328</c:v>
                </c:pt>
                <c:pt idx="37">
                  <c:v>44.0600878512126</c:v>
                </c:pt>
                <c:pt idx="38">
                  <c:v>41.396636994141218</c:v>
                </c:pt>
                <c:pt idx="39">
                  <c:v>38.321588688040748</c:v>
                </c:pt>
                <c:pt idx="40">
                  <c:v>36.058420450595584</c:v>
                </c:pt>
                <c:pt idx="41">
                  <c:v>33.785484666836894</c:v>
                </c:pt>
                <c:pt idx="42">
                  <c:v>30.880201961426543</c:v>
                </c:pt>
                <c:pt idx="43">
                  <c:v>23.864099549492831</c:v>
                </c:pt>
                <c:pt idx="44">
                  <c:v>19.315918665301822</c:v>
                </c:pt>
                <c:pt idx="45">
                  <c:v>14.732875285030337</c:v>
                </c:pt>
                <c:pt idx="46">
                  <c:v>10.259131943972239</c:v>
                </c:pt>
                <c:pt idx="47">
                  <c:v>4.5960897337017226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8F-4B90-B562-B9EC4C91487C}"/>
            </c:ext>
          </c:extLst>
        </c:ser>
        <c:ser>
          <c:idx val="2"/>
          <c:order val="5"/>
          <c:tx>
            <c:v>Fern -</c:v>
          </c:tx>
          <c:spPr>
            <a:ln w="25400">
              <a:solidFill>
                <a:srgbClr val="C372E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372E0"/>
              </a:solidFill>
              <a:ln>
                <a:solidFill>
                  <a:srgbClr val="C372E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Berechnung!$K$3:$K$50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8F-4B90-B562-B9EC4C91487C}"/>
            </c:ext>
          </c:extLst>
        </c:ser>
        <c:ser>
          <c:idx val="3"/>
          <c:order val="6"/>
          <c:tx>
            <c:v>Fern --</c:v>
          </c:tx>
          <c:spPr>
            <a:ln w="25400">
              <a:solidFill>
                <a:srgbClr val="DAB5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DAB5FF"/>
              </a:solidFill>
              <a:ln>
                <a:solidFill>
                  <a:srgbClr val="DAB5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Berechnung!$P$3:$P$50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8F-4B90-B562-B9EC4C91487C}"/>
            </c:ext>
          </c:extLst>
        </c:ser>
        <c:ser>
          <c:idx val="7"/>
          <c:order val="7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Hilfsdaten!$AU$4:$AU$51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28.604297814258164</c:v>
                </c:pt>
                <c:pt idx="19">
                  <c:v>22.120667590039286</c:v>
                </c:pt>
                <c:pt idx="20">
                  <c:v>16.995212476370753</c:v>
                </c:pt>
                <c:pt idx="21">
                  <c:v>12.76106507140079</c:v>
                </c:pt>
                <c:pt idx="22">
                  <c:v>7.3902755994971532</c:v>
                </c:pt>
                <c:pt idx="23">
                  <c:v>1.9004951954129641</c:v>
                </c:pt>
                <c:pt idx="24">
                  <c:v>2.3848810189594212</c:v>
                </c:pt>
                <c:pt idx="25">
                  <c:v>8.3211766715041691</c:v>
                </c:pt>
                <c:pt idx="26">
                  <c:v>13.352767348335838</c:v>
                </c:pt>
                <c:pt idx="27">
                  <c:v>17.353905403007726</c:v>
                </c:pt>
                <c:pt idx="28">
                  <c:v>21.969582831201912</c:v>
                </c:pt>
                <c:pt idx="29">
                  <c:v>29.620850184738174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8F-4B90-B562-B9EC4C91487C}"/>
            </c:ext>
          </c:extLst>
        </c:ser>
        <c:ser>
          <c:idx val="8"/>
          <c:order val="8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Hilfsdaten!$AV$4:$AV$51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30.880201961426543</c:v>
                </c:pt>
                <c:pt idx="43">
                  <c:v>23.864099549492831</c:v>
                </c:pt>
                <c:pt idx="44">
                  <c:v>19.315918665301822</c:v>
                </c:pt>
                <c:pt idx="45">
                  <c:v>14.732875285030337</c:v>
                </c:pt>
                <c:pt idx="46">
                  <c:v>10.259131943972239</c:v>
                </c:pt>
                <c:pt idx="47">
                  <c:v>4.5960897337017226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8F-4B90-B562-B9EC4C91487C}"/>
            </c:ext>
          </c:extLst>
        </c:ser>
        <c:ser>
          <c:idx val="9"/>
          <c:order val="9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Hilfsdaten!$AW$4:$AW$51</c:f>
              <c:numCache>
                <c:formatCode>0.00</c:formatCode>
                <c:ptCount val="48"/>
                <c:pt idx="0">
                  <c:v>6.4190662186696157</c:v>
                </c:pt>
                <c:pt idx="1">
                  <c:v>12.827588529712287</c:v>
                </c:pt>
                <c:pt idx="2">
                  <c:v>17.992276726005908</c:v>
                </c:pt>
                <c:pt idx="3">
                  <c:v>23.251035773881362</c:v>
                </c:pt>
                <c:pt idx="4">
                  <c:v>28.579508021342949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98F-4B90-B562-B9EC4C91487C}"/>
            </c:ext>
          </c:extLst>
        </c:ser>
        <c:ser>
          <c:idx val="10"/>
          <c:order val="10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Hilfsdaten!$BB$4:$BB$51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66.360411079834336</c:v>
                </c:pt>
                <c:pt idx="5">
                  <c:v>63.701857980550059</c:v>
                </c:pt>
                <c:pt idx="6">
                  <c:v>61.860727333190077</c:v>
                </c:pt>
                <c:pt idx="7">
                  <c:v>59.814876630525745</c:v>
                </c:pt>
                <c:pt idx="8">
                  <c:v>57.155685873949466</c:v>
                </c:pt>
                <c:pt idx="9">
                  <c:v>54.496013656304797</c:v>
                </c:pt>
                <c:pt idx="10">
                  <c:v>51.223012232258327</c:v>
                </c:pt>
                <c:pt idx="11">
                  <c:v>48.766578505085107</c:v>
                </c:pt>
                <c:pt idx="12">
                  <c:v>46.104765379668315</c:v>
                </c:pt>
                <c:pt idx="13">
                  <c:v>43.645850818582559</c:v>
                </c:pt>
                <c:pt idx="14">
                  <c:v>41.057076657646924</c:v>
                </c:pt>
                <c:pt idx="15">
                  <c:v>38.019784445143436</c:v>
                </c:pt>
                <c:pt idx="16">
                  <c:v>34.978524959283966</c:v>
                </c:pt>
                <c:pt idx="17">
                  <c:v>31.929089868318474</c:v>
                </c:pt>
                <c:pt idx="18">
                  <c:v>28.604297814258164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29.620850184738174</c:v>
                </c:pt>
                <c:pt idx="30">
                  <c:v>33.151683807443028</c:v>
                </c:pt>
                <c:pt idx="31">
                  <c:v>36.375698080079296</c:v>
                </c:pt>
                <c:pt idx="32">
                  <c:v>38.928740474674221</c:v>
                </c:pt>
                <c:pt idx="33">
                  <c:v>40.912535514049708</c:v>
                </c:pt>
                <c:pt idx="34">
                  <c:v>43.548833172902349</c:v>
                </c:pt>
                <c:pt idx="35">
                  <c:v>46.089075974748049</c:v>
                </c:pt>
                <c:pt idx="36">
                  <c:v>48.153615633115365</c:v>
                </c:pt>
                <c:pt idx="37">
                  <c:v>50.814198891165219</c:v>
                </c:pt>
                <c:pt idx="38">
                  <c:v>53.474407075664928</c:v>
                </c:pt>
                <c:pt idx="39">
                  <c:v>56.427025729417863</c:v>
                </c:pt>
                <c:pt idx="40">
                  <c:v>60.183171813374464</c:v>
                </c:pt>
                <c:pt idx="41">
                  <c:v>62.71911402026759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98F-4B90-B562-B9EC4C91487C}"/>
            </c:ext>
          </c:extLst>
        </c:ser>
        <c:ser>
          <c:idx val="11"/>
          <c:order val="11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Hilfsdaten!$BC$4:$BC$51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68.610430414888469</c:v>
                </c:pt>
                <c:pt idx="29">
                  <c:v>66.360821195159502</c:v>
                </c:pt>
                <c:pt idx="30">
                  <c:v>63.906682212066485</c:v>
                </c:pt>
                <c:pt idx="31">
                  <c:v>61.656687214721167</c:v>
                </c:pt>
                <c:pt idx="32">
                  <c:v>58.588942756527494</c:v>
                </c:pt>
                <c:pt idx="33">
                  <c:v>55.520709953531515</c:v>
                </c:pt>
                <c:pt idx="34">
                  <c:v>53.269880792839103</c:v>
                </c:pt>
                <c:pt idx="35">
                  <c:v>50.405297258516981</c:v>
                </c:pt>
                <c:pt idx="36">
                  <c:v>47.131269397410328</c:v>
                </c:pt>
                <c:pt idx="37">
                  <c:v>44.0600878512126</c:v>
                </c:pt>
                <c:pt idx="38">
                  <c:v>41.396636994141218</c:v>
                </c:pt>
                <c:pt idx="39">
                  <c:v>38.321588688040748</c:v>
                </c:pt>
                <c:pt idx="40">
                  <c:v>36.058420450595584</c:v>
                </c:pt>
                <c:pt idx="41">
                  <c:v>33.785484666836894</c:v>
                </c:pt>
                <c:pt idx="42">
                  <c:v>30.880201961426543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98F-4B90-B562-B9EC4C91487C}"/>
            </c:ext>
          </c:extLst>
        </c:ser>
        <c:ser>
          <c:idx val="12"/>
          <c:order val="12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Hilfsdaten!$BD$4:$BD$51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28.579508021342949</c:v>
                </c:pt>
                <c:pt idx="5">
                  <c:v>32.543802851155412</c:v>
                </c:pt>
                <c:pt idx="6">
                  <c:v>35.674423914362258</c:v>
                </c:pt>
                <c:pt idx="7">
                  <c:v>38.28607319169425</c:v>
                </c:pt>
                <c:pt idx="8">
                  <c:v>41.103107291090183</c:v>
                </c:pt>
                <c:pt idx="9">
                  <c:v>43.676513604626571</c:v>
                </c:pt>
                <c:pt idx="10">
                  <c:v>46.24614107578676</c:v>
                </c:pt>
                <c:pt idx="11">
                  <c:v>49.069280623977647</c:v>
                </c:pt>
                <c:pt idx="12">
                  <c:v>51.89080986948337</c:v>
                </c:pt>
                <c:pt idx="13">
                  <c:v>54.327487076635236</c:v>
                </c:pt>
                <c:pt idx="14">
                  <c:v>57.559433899422075</c:v>
                </c:pt>
                <c:pt idx="15">
                  <c:v>60.014965137919063</c:v>
                </c:pt>
                <c:pt idx="16">
                  <c:v>62.878823448010159</c:v>
                </c:pt>
                <c:pt idx="17">
                  <c:v>65.731873252372253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98F-4B90-B562-B9EC4C91487C}"/>
            </c:ext>
          </c:extLst>
        </c:ser>
        <c:ser>
          <c:idx val="13"/>
          <c:order val="13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Hilfsdaten!$BE$4:$BE$51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98F-4B90-B562-B9EC4C91487C}"/>
            </c:ext>
          </c:extLst>
        </c:ser>
        <c:ser>
          <c:idx val="14"/>
          <c:order val="14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Hilfsdaten!$BF$4:$BF$51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98F-4B90-B562-B9EC4C91487C}"/>
            </c:ext>
          </c:extLst>
        </c:ser>
        <c:ser>
          <c:idx val="15"/>
          <c:order val="15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Hilfsdaten!$BG$4:$BG$51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98F-4B90-B562-B9EC4C91487C}"/>
            </c:ext>
          </c:extLst>
        </c:ser>
        <c:ser>
          <c:idx val="16"/>
          <c:order val="16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Hilfsdaten!$BH$4:$BH$51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98F-4B90-B562-B9EC4C91487C}"/>
            </c:ext>
          </c:extLst>
        </c:ser>
        <c:ser>
          <c:idx val="17"/>
          <c:order val="17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Hilfsdaten!$BI$4:$BI$51</c:f>
              <c:numCache>
                <c:formatCode>0.00</c:formatCode>
                <c:ptCount val="48"/>
                <c:pt idx="0">
                  <c:v>69.428671423749449</c:v>
                </c:pt>
                <c:pt idx="1">
                  <c:v>68.814987134317761</c:v>
                </c:pt>
                <c:pt idx="2">
                  <c:v>67.996800790788086</c:v>
                </c:pt>
                <c:pt idx="3">
                  <c:v>67.178576839881984</c:v>
                </c:pt>
                <c:pt idx="4">
                  <c:v>66.360411079834336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66.099433238541906</c:v>
                </c:pt>
                <c:pt idx="43">
                  <c:v>67.321124484269745</c:v>
                </c:pt>
                <c:pt idx="44">
                  <c:v>68.448043970305875</c:v>
                </c:pt>
                <c:pt idx="45">
                  <c:v>69.293375801382254</c:v>
                </c:pt>
                <c:pt idx="46">
                  <c:v>70.245651939639203</c:v>
                </c:pt>
                <c:pt idx="47">
                  <c:v>70.655080144554915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98F-4B90-B562-B9EC4C91487C}"/>
            </c:ext>
          </c:extLst>
        </c:ser>
        <c:ser>
          <c:idx val="18"/>
          <c:order val="18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Hilfsdaten!$BJ$4:$BJ$51</c:f>
              <c:numCache>
                <c:formatCode>0.00</c:formatCode>
                <c:ptCount val="48"/>
                <c:pt idx="0">
                  <c:v>100.91660299598189</c:v>
                </c:pt>
                <c:pt idx="1">
                  <c:v>100.50752832074443</c:v>
                </c:pt>
                <c:pt idx="2">
                  <c:v>100.09845086577002</c:v>
                </c:pt>
                <c:pt idx="3">
                  <c:v>99.280885359077502</c:v>
                </c:pt>
                <c:pt idx="4">
                  <c:v>98.463217587675302</c:v>
                </c:pt>
                <c:pt idx="5">
                  <c:v>97.032066710119381</c:v>
                </c:pt>
                <c:pt idx="6">
                  <c:v>95.601004351725422</c:v>
                </c:pt>
                <c:pt idx="7">
                  <c:v>94.374320191874475</c:v>
                </c:pt>
                <c:pt idx="8">
                  <c:v>92.534349543317219</c:v>
                </c:pt>
                <c:pt idx="9">
                  <c:v>90.490075609326482</c:v>
                </c:pt>
                <c:pt idx="10">
                  <c:v>88.85446615246228</c:v>
                </c:pt>
                <c:pt idx="11">
                  <c:v>87.218938352634339</c:v>
                </c:pt>
                <c:pt idx="12">
                  <c:v>85.583289856046349</c:v>
                </c:pt>
                <c:pt idx="13">
                  <c:v>84.765364483473263</c:v>
                </c:pt>
                <c:pt idx="14">
                  <c:v>83.334147381996971</c:v>
                </c:pt>
                <c:pt idx="15">
                  <c:v>81.494027904986567</c:v>
                </c:pt>
                <c:pt idx="16">
                  <c:v>80.062741528837947</c:v>
                </c:pt>
                <c:pt idx="17">
                  <c:v>78.426929027227033</c:v>
                </c:pt>
                <c:pt idx="18">
                  <c:v>76.791168019748355</c:v>
                </c:pt>
                <c:pt idx="19">
                  <c:v>75.564106864342975</c:v>
                </c:pt>
                <c:pt idx="20">
                  <c:v>74.746121385626509</c:v>
                </c:pt>
                <c:pt idx="21">
                  <c:v>74.387964075524195</c:v>
                </c:pt>
                <c:pt idx="22">
                  <c:v>73.493346686116709</c:v>
                </c:pt>
                <c:pt idx="23">
                  <c:v>72.598607972831161</c:v>
                </c:pt>
                <c:pt idx="24">
                  <c:v>71.703945838535077</c:v>
                </c:pt>
                <c:pt idx="25">
                  <c:v>70.809257958588788</c:v>
                </c:pt>
                <c:pt idx="26">
                  <c:v>70.451061432934338</c:v>
                </c:pt>
                <c:pt idx="27">
                  <c:v>69.63299713641257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98F-4B90-B562-B9EC4C91487C}"/>
            </c:ext>
          </c:extLst>
        </c:ser>
        <c:ser>
          <c:idx val="19"/>
          <c:order val="19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Hilfsdaten!$BK$4:$BK$51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67.379364505668448</c:v>
                </c:pt>
                <c:pt idx="19">
                  <c:v>69.01609830163278</c:v>
                </c:pt>
                <c:pt idx="20">
                  <c:v>70.728955623171629</c:v>
                </c:pt>
                <c:pt idx="21">
                  <c:v>71.061446834438087</c:v>
                </c:pt>
                <c:pt idx="22">
                  <c:v>70.986458975707805</c:v>
                </c:pt>
                <c:pt idx="23">
                  <c:v>71.243060205113892</c:v>
                </c:pt>
                <c:pt idx="24">
                  <c:v>72.267793565586771</c:v>
                </c:pt>
                <c:pt idx="25">
                  <c:v>73.420579864768285</c:v>
                </c:pt>
                <c:pt idx="26">
                  <c:v>74.445261907928611</c:v>
                </c:pt>
                <c:pt idx="27">
                  <c:v>75.341939014610716</c:v>
                </c:pt>
                <c:pt idx="28">
                  <c:v>75.726462094426523</c:v>
                </c:pt>
                <c:pt idx="29">
                  <c:v>76.584819296079033</c:v>
                </c:pt>
                <c:pt idx="30">
                  <c:v>77.8119466483504</c:v>
                </c:pt>
                <c:pt idx="31">
                  <c:v>80.060999705815448</c:v>
                </c:pt>
                <c:pt idx="32">
                  <c:v>81.492388677941392</c:v>
                </c:pt>
                <c:pt idx="33">
                  <c:v>83.332592987587006</c:v>
                </c:pt>
                <c:pt idx="34">
                  <c:v>85.17266050978192</c:v>
                </c:pt>
                <c:pt idx="35">
                  <c:v>87.625948581771013</c:v>
                </c:pt>
                <c:pt idx="36">
                  <c:v>88.239646974118543</c:v>
                </c:pt>
                <c:pt idx="37">
                  <c:v>89.686852640870654</c:v>
                </c:pt>
                <c:pt idx="38">
                  <c:v>91.351619338236702</c:v>
                </c:pt>
                <c:pt idx="39">
                  <c:v>92.124418379511695</c:v>
                </c:pt>
                <c:pt idx="40">
                  <c:v>93.419363490401366</c:v>
                </c:pt>
                <c:pt idx="41">
                  <c:v>94.169218772253927</c:v>
                </c:pt>
                <c:pt idx="42">
                  <c:v>95.833908424365177</c:v>
                </c:pt>
                <c:pt idx="43">
                  <c:v>96.858415429668895</c:v>
                </c:pt>
                <c:pt idx="44">
                  <c:v>97.626801460632649</c:v>
                </c:pt>
                <c:pt idx="45">
                  <c:v>98.395084585578303</c:v>
                </c:pt>
                <c:pt idx="46">
                  <c:v>98.907376128937216</c:v>
                </c:pt>
                <c:pt idx="47">
                  <c:v>99.803648100829491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98F-4B90-B562-B9EC4C91487C}"/>
            </c:ext>
          </c:extLst>
        </c:ser>
        <c:ser>
          <c:idx val="20"/>
          <c:order val="20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Hilfsdaten!$BL$4:$BL$51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98F-4B90-B562-B9EC4C91487C}"/>
            </c:ext>
          </c:extLst>
        </c:ser>
        <c:ser>
          <c:idx val="21"/>
          <c:order val="21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Hilfsdaten!$BM$4:$BM$51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98F-4B90-B562-B9EC4C91487C}"/>
            </c:ext>
          </c:extLst>
        </c:ser>
        <c:ser>
          <c:idx val="22"/>
          <c:order val="22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Hilfsdaten!$BN$4:$BN$51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98F-4B90-B562-B9EC4C91487C}"/>
            </c:ext>
          </c:extLst>
        </c:ser>
        <c:ser>
          <c:idx val="23"/>
          <c:order val="23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Hilfsdaten!$BO$4:$BO$51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98F-4B90-B562-B9EC4C91487C}"/>
            </c:ext>
          </c:extLst>
        </c:ser>
        <c:ser>
          <c:idx val="24"/>
          <c:order val="24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Hilfsdaten!$AX$4:$AX$51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98F-4B90-B562-B9EC4C91487C}"/>
            </c:ext>
          </c:extLst>
        </c:ser>
        <c:ser>
          <c:idx val="25"/>
          <c:order val="25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Hilfsdaten!$AY$4:$AY$51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98F-4B90-B562-B9EC4C91487C}"/>
            </c:ext>
          </c:extLst>
        </c:ser>
        <c:ser>
          <c:idx val="26"/>
          <c:order val="26"/>
          <c:tx>
            <c:v>Bereich v0</c:v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Hilfsdaten!$AZ$4:$AZ$51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98F-4B90-B562-B9EC4C91487C}"/>
            </c:ext>
          </c:extLst>
        </c:ser>
        <c:ser>
          <c:idx val="27"/>
          <c:order val="27"/>
          <c:tx>
            <c:v>Bereich v0</c:v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Hilfsdaten!$BA$4:$BA$51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98F-4B90-B562-B9EC4C914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875200"/>
        <c:axId val="243878528"/>
      </c:scatterChart>
      <c:valAx>
        <c:axId val="243875200"/>
        <c:scaling>
          <c:orientation val="minMax"/>
          <c:max val="20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Entfernung in m</a:t>
                </a:r>
              </a:p>
            </c:rich>
          </c:tx>
          <c:layout>
            <c:manualLayout>
              <c:xMode val="edge"/>
              <c:yMode val="edge"/>
              <c:x val="0.42192429022082018"/>
              <c:y val="0.94885598923283987"/>
            </c:manualLayout>
          </c:layout>
          <c:overlay val="0"/>
          <c:spPr>
            <a:noFill/>
            <a:ln w="25400">
              <a:noFill/>
            </a:ln>
          </c:spPr>
        </c:title>
        <c:numFmt formatCode="Standard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43878528"/>
        <c:crosses val="autoZero"/>
        <c:crossBetween val="midCat"/>
        <c:majorUnit val="5"/>
        <c:minorUnit val="1"/>
      </c:valAx>
      <c:valAx>
        <c:axId val="24387852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Zeit in ms</a:t>
                </a:r>
              </a:p>
            </c:rich>
          </c:tx>
          <c:layout>
            <c:manualLayout>
              <c:xMode val="edge"/>
              <c:yMode val="edge"/>
              <c:x val="8.6750788643533121E-3"/>
              <c:y val="0.4522207267833108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438752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ayout>
        <c:manualLayout>
          <c:xMode val="edge"/>
          <c:yMode val="edge"/>
          <c:x val="0.90536277602523663"/>
          <c:y val="0.2920592193808883"/>
          <c:w val="7.8864353312302793E-2"/>
          <c:h val="0.283983849259757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Laufzeitkurven!$C$2</c:f>
          <c:strCache>
            <c:ptCount val="1"/>
            <c:pt idx="0">
              <c:v>LVL 150</c:v>
            </c:pt>
          </c:strCache>
        </c:strRef>
      </c:tx>
      <c:layout>
        <c:manualLayout>
          <c:xMode val="edge"/>
          <c:yMode val="edge"/>
          <c:x val="0.45008950084447996"/>
          <c:y val="2.673796791443850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2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0017903661416265E-2"/>
          <c:y val="0.11497333708465876"/>
          <c:w val="0.88235370915645639"/>
          <c:h val="0.75534808666083952"/>
        </c:manualLayout>
      </c:layout>
      <c:scatterChart>
        <c:scatterStyle val="lineMarker"/>
        <c:varyColors val="0"/>
        <c:ser>
          <c:idx val="0"/>
          <c:order val="0"/>
          <c:tx>
            <c:v>Fern ++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C1DFFF"/>
              </a:solidFill>
              <a:ln>
                <a:solidFill>
                  <a:srgbClr val="C1DFFF"/>
                </a:solidFill>
                <a:prstDash val="solid"/>
              </a:ln>
            </c:spPr>
          </c:marker>
          <c:xVal>
            <c:numRef>
              <c:f>T0_Korrektur!$O$3:$O$50</c:f>
              <c:numCache>
                <c:formatCode>0.0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xVal>
          <c:yVal>
            <c:numRef>
              <c:f>T0_Korrektur!$P$3:$P$50</c:f>
              <c:numCache>
                <c:formatCode>Standard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52-4A1B-A17D-59DFB43CFB64}"/>
            </c:ext>
          </c:extLst>
        </c:ser>
        <c:ser>
          <c:idx val="1"/>
          <c:order val="1"/>
          <c:tx>
            <c:v>Fern +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T0_Korrektur!$K$3:$K$50</c:f>
              <c:numCache>
                <c:formatCode>0.0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xVal>
          <c:yVal>
            <c:numRef>
              <c:f>T0_Korrektur!$L$3:$L$50</c:f>
              <c:numCache>
                <c:formatCode>Standard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52-4A1B-A17D-59DFB43CFB64}"/>
            </c:ext>
          </c:extLst>
        </c:ser>
        <c:ser>
          <c:idx val="2"/>
          <c:order val="2"/>
          <c:tx>
            <c:v>Off-end +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66FF"/>
              </a:solidFill>
              <a:ln>
                <a:solidFill>
                  <a:srgbClr val="0066FF"/>
                </a:solidFill>
                <a:prstDash val="solid"/>
              </a:ln>
            </c:spPr>
          </c:marker>
          <c:xVal>
            <c:numRef>
              <c:f>T0_Korrektur!$G$3:$G$50</c:f>
              <c:numCache>
                <c:formatCode>0.0</c:formatCode>
                <c:ptCount val="48"/>
                <c:pt idx="0">
                  <c:v>3.0805843601498726</c:v>
                </c:pt>
                <c:pt idx="1">
                  <c:v>5.3141321022345691</c:v>
                </c:pt>
                <c:pt idx="2">
                  <c:v>7.712976079309465</c:v>
                </c:pt>
                <c:pt idx="3">
                  <c:v>10.160708636704429</c:v>
                </c:pt>
                <c:pt idx="4">
                  <c:v>12.628935030318273</c:v>
                </c:pt>
                <c:pt idx="5">
                  <c:v>17.592327873252021</c:v>
                </c:pt>
                <c:pt idx="6">
                  <c:v>22.571885167172013</c:v>
                </c:pt>
                <c:pt idx="7">
                  <c:v>27.558846129691279</c:v>
                </c:pt>
                <c:pt idx="8">
                  <c:v>32.549807987144874</c:v>
                </c:pt>
                <c:pt idx="9">
                  <c:v>37.543175145424236</c:v>
                </c:pt>
                <c:pt idx="10">
                  <c:v>42.538100568784216</c:v>
                </c:pt>
                <c:pt idx="11">
                  <c:v>47.534093028057235</c:v>
                </c:pt>
                <c:pt idx="12">
                  <c:v>52.530848079961544</c:v>
                </c:pt>
                <c:pt idx="13">
                  <c:v>57.528167014081021</c:v>
                </c:pt>
                <c:pt idx="14">
                  <c:v>62.525914627456672</c:v>
                </c:pt>
                <c:pt idx="15">
                  <c:v>67.523995734849692</c:v>
                </c:pt>
                <c:pt idx="16">
                  <c:v>72.522341385258656</c:v>
                </c:pt>
                <c:pt idx="17">
                  <c:v>77.52090040756751</c:v>
                </c:pt>
                <c:pt idx="18">
                  <c:v>82.519634027302857</c:v>
                </c:pt>
                <c:pt idx="19">
                  <c:v>87.51851232739277</c:v>
                </c:pt>
                <c:pt idx="20">
                  <c:v>90.017998200359912</c:v>
                </c:pt>
                <c:pt idx="21">
                  <c:v>92.517511855864342</c:v>
                </c:pt>
                <c:pt idx="22">
                  <c:v>95.017051101368111</c:v>
                </c:pt>
                <c:pt idx="23">
                  <c:v>97.516613969107851</c:v>
                </c:pt>
                <c:pt idx="24">
                  <c:v>100.01619868801254</c:v>
                </c:pt>
                <c:pt idx="25">
                  <c:v>102.51580365972848</c:v>
                </c:pt>
                <c:pt idx="26">
                  <c:v>105.01542743806741</c:v>
                </c:pt>
                <c:pt idx="27">
                  <c:v>107.51506871132065</c:v>
                </c:pt>
                <c:pt idx="28">
                  <c:v>110.01472628698396</c:v>
                </c:pt>
                <c:pt idx="29">
                  <c:v>115.01408609383461</c:v>
                </c:pt>
                <c:pt idx="30">
                  <c:v>120.01349924071042</c:v>
                </c:pt>
                <c:pt idx="31">
                  <c:v>125.01295932822325</c:v>
                </c:pt>
                <c:pt idx="32">
                  <c:v>130.0124609412498</c:v>
                </c:pt>
                <c:pt idx="33">
                  <c:v>135.01199946671409</c:v>
                </c:pt>
                <c:pt idx="34">
                  <c:v>140.01157095040395</c:v>
                </c:pt>
                <c:pt idx="35">
                  <c:v>145.01117198340273</c:v>
                </c:pt>
                <c:pt idx="36">
                  <c:v>150.01079961122801</c:v>
                </c:pt>
                <c:pt idx="37">
                  <c:v>155.01045126055212</c:v>
                </c:pt>
                <c:pt idx="38">
                  <c:v>160.01012467965896</c:v>
                </c:pt>
                <c:pt idx="39">
                  <c:v>165.00981788972436</c:v>
                </c:pt>
                <c:pt idx="40">
                  <c:v>170.00952914469235</c:v>
                </c:pt>
                <c:pt idx="41">
                  <c:v>175.00925689802813</c:v>
                </c:pt>
                <c:pt idx="42">
                  <c:v>180.00899977501126</c:v>
                </c:pt>
                <c:pt idx="43">
                  <c:v>185.00875654952119</c:v>
                </c:pt>
                <c:pt idx="44">
                  <c:v>187.50863980094357</c:v>
                </c:pt>
                <c:pt idx="45">
                  <c:v>190.00852612448736</c:v>
                </c:pt>
                <c:pt idx="46">
                  <c:v>192.50841540047023</c:v>
                </c:pt>
                <c:pt idx="47">
                  <c:v>195.00830751534664</c:v>
                </c:pt>
              </c:numCache>
            </c:numRef>
          </c:xVal>
          <c:yVal>
            <c:numRef>
              <c:f>T0_Korrektur!$H$3:$H$50</c:f>
              <c:numCache>
                <c:formatCode>Standard</c:formatCode>
                <c:ptCount val="48"/>
                <c:pt idx="0">
                  <c:v>7.9097900000000001</c:v>
                </c:pt>
                <c:pt idx="1">
                  <c:v>13.6335</c:v>
                </c:pt>
                <c:pt idx="2">
                  <c:v>18.5032</c:v>
                </c:pt>
                <c:pt idx="3">
                  <c:v>23.624700000000001</c:v>
                </c:pt>
                <c:pt idx="4">
                  <c:v>28.874300000000002</c:v>
                </c:pt>
                <c:pt idx="5">
                  <c:v>32.715499999999999</c:v>
                </c:pt>
                <c:pt idx="6">
                  <c:v>35.788400000000003</c:v>
                </c:pt>
                <c:pt idx="7">
                  <c:v>38.368000000000002</c:v>
                </c:pt>
                <c:pt idx="8">
                  <c:v>41.1661</c:v>
                </c:pt>
                <c:pt idx="9">
                  <c:v>43.726799999999997</c:v>
                </c:pt>
                <c:pt idx="10">
                  <c:v>46.287599999999998</c:v>
                </c:pt>
                <c:pt idx="11">
                  <c:v>49.104500000000002</c:v>
                </c:pt>
                <c:pt idx="12">
                  <c:v>51.921300000000002</c:v>
                </c:pt>
                <c:pt idx="13">
                  <c:v>54.354100000000003</c:v>
                </c:pt>
                <c:pt idx="14">
                  <c:v>57.583300000000001</c:v>
                </c:pt>
                <c:pt idx="15">
                  <c:v>60.036299999999997</c:v>
                </c:pt>
                <c:pt idx="16">
                  <c:v>62.898200000000003</c:v>
                </c:pt>
                <c:pt idx="17">
                  <c:v>65.749600000000001</c:v>
                </c:pt>
                <c:pt idx="18">
                  <c:v>67.395399999999995</c:v>
                </c:pt>
                <c:pt idx="19">
                  <c:v>69.030699999999996</c:v>
                </c:pt>
                <c:pt idx="20">
                  <c:v>70.743099999999998</c:v>
                </c:pt>
                <c:pt idx="21">
                  <c:v>71.0749</c:v>
                </c:pt>
                <c:pt idx="22">
                  <c:v>70.999200000000002</c:v>
                </c:pt>
                <c:pt idx="23">
                  <c:v>71.255200000000002</c:v>
                </c:pt>
                <c:pt idx="24">
                  <c:v>72.279499999999999</c:v>
                </c:pt>
                <c:pt idx="25">
                  <c:v>73.431899999999999</c:v>
                </c:pt>
                <c:pt idx="26">
                  <c:v>74.456199999999995</c:v>
                </c:pt>
                <c:pt idx="27">
                  <c:v>75.352500000000006</c:v>
                </c:pt>
                <c:pt idx="28">
                  <c:v>75.736599999999996</c:v>
                </c:pt>
                <c:pt idx="29">
                  <c:v>76.594200000000001</c:v>
                </c:pt>
                <c:pt idx="30">
                  <c:v>77.820700000000002</c:v>
                </c:pt>
                <c:pt idx="31">
                  <c:v>80.069299999999998</c:v>
                </c:pt>
                <c:pt idx="32">
                  <c:v>81.500200000000007</c:v>
                </c:pt>
                <c:pt idx="33">
                  <c:v>83.34</c:v>
                </c:pt>
                <c:pt idx="34">
                  <c:v>85.179699999999997</c:v>
                </c:pt>
                <c:pt idx="35">
                  <c:v>87.6327</c:v>
                </c:pt>
                <c:pt idx="36">
                  <c:v>88.245999999999995</c:v>
                </c:pt>
                <c:pt idx="37">
                  <c:v>89.692899999999995</c:v>
                </c:pt>
                <c:pt idx="38">
                  <c:v>91.357399999999998</c:v>
                </c:pt>
                <c:pt idx="39">
                  <c:v>92.129900000000006</c:v>
                </c:pt>
                <c:pt idx="40">
                  <c:v>93.424599999999998</c:v>
                </c:pt>
                <c:pt idx="41">
                  <c:v>94.174199999999999</c:v>
                </c:pt>
                <c:pt idx="42">
                  <c:v>95.838700000000003</c:v>
                </c:pt>
                <c:pt idx="43">
                  <c:v>96.863</c:v>
                </c:pt>
                <c:pt idx="44">
                  <c:v>97.631299999999996</c:v>
                </c:pt>
                <c:pt idx="45">
                  <c:v>98.399500000000003</c:v>
                </c:pt>
                <c:pt idx="46">
                  <c:v>98.911699999999996</c:v>
                </c:pt>
                <c:pt idx="47">
                  <c:v>99.807900000000004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52-4A1B-A17D-59DFB43CFB64}"/>
            </c:ext>
          </c:extLst>
        </c:ser>
        <c:ser>
          <c:idx val="3"/>
          <c:order val="3"/>
          <c:tx>
            <c:v>Zentral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CC66"/>
              </a:solidFill>
              <a:ln>
                <a:solidFill>
                  <a:srgbClr val="00CC66"/>
                </a:solidFill>
                <a:prstDash val="solid"/>
              </a:ln>
            </c:spPr>
          </c:marker>
          <c:xVal>
            <c:numRef>
              <c:f>Hilfsdaten!$BR$4:$BR$51</c:f>
              <c:numCache>
                <c:formatCode>0.00</c:formatCode>
                <c:ptCount val="48"/>
                <c:pt idx="0">
                  <c:v>96.26501181633958</c:v>
                </c:pt>
                <c:pt idx="1">
                  <c:v>93.765412066497092</c:v>
                </c:pt>
                <c:pt idx="2">
                  <c:v>91.265834242612385</c:v>
                </c:pt>
                <c:pt idx="3">
                  <c:v>88.766280196930637</c:v>
                </c:pt>
                <c:pt idx="4">
                  <c:v>86.266751996351417</c:v>
                </c:pt>
                <c:pt idx="5">
                  <c:v>81.26778266939489</c:v>
                </c:pt>
                <c:pt idx="6">
                  <c:v>76.268948465283046</c:v>
                </c:pt>
                <c:pt idx="7">
                  <c:v>71.270277816211717</c:v>
                </c:pt>
                <c:pt idx="8">
                  <c:v>66.271807731493183</c:v>
                </c:pt>
                <c:pt idx="9">
                  <c:v>61.273587295016441</c:v>
                </c:pt>
                <c:pt idx="10">
                  <c:v>56.275683025619507</c:v>
                </c:pt>
                <c:pt idx="11">
                  <c:v>51.278187370459968</c:v>
                </c:pt>
                <c:pt idx="12">
                  <c:v>46.281232697498453</c:v>
                </c:pt>
                <c:pt idx="13">
                  <c:v>41.285015441440734</c:v>
                </c:pt>
                <c:pt idx="14">
                  <c:v>36.289840176005185</c:v>
                </c:pt>
                <c:pt idx="15">
                  <c:v>31.296205840325118</c:v>
                </c:pt>
                <c:pt idx="16">
                  <c:v>26.304990020906679</c:v>
                </c:pt>
                <c:pt idx="17">
                  <c:v>21.31789154677357</c:v>
                </c:pt>
                <c:pt idx="18">
                  <c:v>16.338681097322389</c:v>
                </c:pt>
                <c:pt idx="19">
                  <c:v>11.377719455145657</c:v>
                </c:pt>
                <c:pt idx="20">
                  <c:v>8.9136131843377626</c:v>
                </c:pt>
                <c:pt idx="21">
                  <c:v>6.4770749571083401</c:v>
                </c:pt>
                <c:pt idx="22">
                  <c:v>4.1173413752080359</c:v>
                </c:pt>
                <c:pt idx="23">
                  <c:v>2.110094784600919</c:v>
                </c:pt>
                <c:pt idx="24">
                  <c:v>2.110094784600919</c:v>
                </c:pt>
                <c:pt idx="25">
                  <c:v>4.1173413752080359</c:v>
                </c:pt>
                <c:pt idx="26">
                  <c:v>6.4770749571083401</c:v>
                </c:pt>
                <c:pt idx="27">
                  <c:v>8.9136131843377626</c:v>
                </c:pt>
                <c:pt idx="28">
                  <c:v>11.377719455145657</c:v>
                </c:pt>
                <c:pt idx="29">
                  <c:v>16.338681097322389</c:v>
                </c:pt>
                <c:pt idx="30">
                  <c:v>21.31789154677357</c:v>
                </c:pt>
                <c:pt idx="31">
                  <c:v>26.304990020906679</c:v>
                </c:pt>
                <c:pt idx="32">
                  <c:v>31.296205840325118</c:v>
                </c:pt>
                <c:pt idx="33">
                  <c:v>36.289840176005185</c:v>
                </c:pt>
                <c:pt idx="34">
                  <c:v>41.285015441440734</c:v>
                </c:pt>
                <c:pt idx="35">
                  <c:v>46.281232697498453</c:v>
                </c:pt>
                <c:pt idx="36">
                  <c:v>51.278187370459968</c:v>
                </c:pt>
                <c:pt idx="37">
                  <c:v>56.275683025619507</c:v>
                </c:pt>
                <c:pt idx="38">
                  <c:v>61.273587295016441</c:v>
                </c:pt>
                <c:pt idx="39">
                  <c:v>66.271807731493183</c:v>
                </c:pt>
                <c:pt idx="40">
                  <c:v>71.270277816211717</c:v>
                </c:pt>
                <c:pt idx="41">
                  <c:v>76.268948465283046</c:v>
                </c:pt>
                <c:pt idx="42">
                  <c:v>81.26778266939489</c:v>
                </c:pt>
                <c:pt idx="43">
                  <c:v>86.266751996351417</c:v>
                </c:pt>
                <c:pt idx="44">
                  <c:v>88.766280196930637</c:v>
                </c:pt>
                <c:pt idx="45">
                  <c:v>91.265834242612385</c:v>
                </c:pt>
                <c:pt idx="46">
                  <c:v>93.765412066497092</c:v>
                </c:pt>
                <c:pt idx="47">
                  <c:v>96.26501181633958</c:v>
                </c:pt>
              </c:numCache>
            </c:numRef>
          </c:xVal>
          <c:yVal>
            <c:numRef>
              <c:f>T0_Korrektur!$D$3:$D$50</c:f>
              <c:numCache>
                <c:formatCode>Standard</c:formatCode>
                <c:ptCount val="48"/>
                <c:pt idx="0">
                  <c:v>69.439499999999995</c:v>
                </c:pt>
                <c:pt idx="1">
                  <c:v>68.826300000000003</c:v>
                </c:pt>
                <c:pt idx="2">
                  <c:v>68.008600000000001</c:v>
                </c:pt>
                <c:pt idx="3">
                  <c:v>67.190899999999999</c:v>
                </c:pt>
                <c:pt idx="4">
                  <c:v>66.3733</c:v>
                </c:pt>
                <c:pt idx="5">
                  <c:v>63.715800000000002</c:v>
                </c:pt>
                <c:pt idx="6">
                  <c:v>61.876100000000001</c:v>
                </c:pt>
                <c:pt idx="7">
                  <c:v>59.831899999999997</c:v>
                </c:pt>
                <c:pt idx="8">
                  <c:v>57.174500000000002</c:v>
                </c:pt>
                <c:pt idx="9">
                  <c:v>54.517000000000003</c:v>
                </c:pt>
                <c:pt idx="10">
                  <c:v>51.246400000000001</c:v>
                </c:pt>
                <c:pt idx="11">
                  <c:v>48.793399999999998</c:v>
                </c:pt>
                <c:pt idx="12">
                  <c:v>46.135899999999999</c:v>
                </c:pt>
                <c:pt idx="13">
                  <c:v>43.682899999999997</c:v>
                </c:pt>
                <c:pt idx="14">
                  <c:v>41.102200000000003</c:v>
                </c:pt>
                <c:pt idx="15">
                  <c:v>38.076000000000001</c:v>
                </c:pt>
                <c:pt idx="16">
                  <c:v>35.0518</c:v>
                </c:pt>
                <c:pt idx="17">
                  <c:v>32.031100000000002</c:v>
                </c:pt>
                <c:pt idx="18">
                  <c:v>28.760400000000001</c:v>
                </c:pt>
                <c:pt idx="19">
                  <c:v>22.3718</c:v>
                </c:pt>
                <c:pt idx="20">
                  <c:v>17.312999999999999</c:v>
                </c:pt>
                <c:pt idx="21">
                  <c:v>13.2247</c:v>
                </c:pt>
                <c:pt idx="22">
                  <c:v>8.1142099999999999</c:v>
                </c:pt>
                <c:pt idx="23">
                  <c:v>3.20818</c:v>
                </c:pt>
                <c:pt idx="24">
                  <c:v>4.0258599999999998</c:v>
                </c:pt>
                <c:pt idx="25">
                  <c:v>9.1363000000000003</c:v>
                </c:pt>
                <c:pt idx="26">
                  <c:v>13.837899999999999</c:v>
                </c:pt>
                <c:pt idx="27">
                  <c:v>17.6784</c:v>
                </c:pt>
                <c:pt idx="28">
                  <c:v>22.219000000000001</c:v>
                </c:pt>
                <c:pt idx="29">
                  <c:v>29.782499999999999</c:v>
                </c:pt>
                <c:pt idx="30">
                  <c:v>33.257599999999996</c:v>
                </c:pt>
                <c:pt idx="31">
                  <c:v>36.451900000000002</c:v>
                </c:pt>
                <c:pt idx="32">
                  <c:v>38.9863</c:v>
                </c:pt>
                <c:pt idx="33">
                  <c:v>40.957500000000003</c:v>
                </c:pt>
                <c:pt idx="34">
                  <c:v>43.585799999999999</c:v>
                </c:pt>
                <c:pt idx="35">
                  <c:v>46.120199999999997</c:v>
                </c:pt>
                <c:pt idx="36">
                  <c:v>48.180100000000003</c:v>
                </c:pt>
                <c:pt idx="37">
                  <c:v>50.837400000000002</c:v>
                </c:pt>
                <c:pt idx="38">
                  <c:v>53.494999999999997</c:v>
                </c:pt>
                <c:pt idx="39">
                  <c:v>56.445599999999999</c:v>
                </c:pt>
                <c:pt idx="40">
                  <c:v>60.200299999999999</c:v>
                </c:pt>
                <c:pt idx="41">
                  <c:v>62.734699999999997</c:v>
                </c:pt>
                <c:pt idx="42">
                  <c:v>66.113900000000001</c:v>
                </c:pt>
                <c:pt idx="43">
                  <c:v>67.334199999999996</c:v>
                </c:pt>
                <c:pt idx="44">
                  <c:v>68.460599999999999</c:v>
                </c:pt>
                <c:pt idx="45">
                  <c:v>69.305400000000006</c:v>
                </c:pt>
                <c:pt idx="46">
                  <c:v>70.257199999999997</c:v>
                </c:pt>
                <c:pt idx="47">
                  <c:v>70.6661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52-4A1B-A17D-59DFB43CFB64}"/>
            </c:ext>
          </c:extLst>
        </c:ser>
        <c:ser>
          <c:idx val="4"/>
          <c:order val="4"/>
          <c:tx>
            <c:v>Off-end -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980098"/>
              </a:solidFill>
              <a:ln>
                <a:solidFill>
                  <a:srgbClr val="980098"/>
                </a:solidFill>
                <a:prstDash val="solid"/>
              </a:ln>
            </c:spPr>
          </c:marker>
          <c:xVal>
            <c:numRef>
              <c:f>Hilfsdaten!$BS$4:$BS$51</c:f>
              <c:numCache>
                <c:formatCode>0.00</c:formatCode>
                <c:ptCount val="48"/>
                <c:pt idx="0">
                  <c:v>195.00656399208719</c:v>
                </c:pt>
                <c:pt idx="1">
                  <c:v>192.50664923581212</c:v>
                </c:pt>
                <c:pt idx="2">
                  <c:v>190.00673672267519</c:v>
                </c:pt>
                <c:pt idx="3">
                  <c:v>187.50682654239552</c:v>
                </c:pt>
                <c:pt idx="4">
                  <c:v>185.00691878954149</c:v>
                </c:pt>
                <c:pt idx="5">
                  <c:v>180.00711097065027</c:v>
                </c:pt>
                <c:pt idx="6">
                  <c:v>175.00731413286704</c:v>
                </c:pt>
                <c:pt idx="7">
                  <c:v>170.00752924503081</c:v>
                </c:pt>
                <c:pt idx="8">
                  <c:v>165.00775739340258</c:v>
                </c:pt>
                <c:pt idx="9">
                  <c:v>160.00799980001</c:v>
                </c:pt>
                <c:pt idx="10">
                  <c:v>155.00825784454196</c:v>
                </c:pt>
                <c:pt idx="11">
                  <c:v>150.00853309062123</c:v>
                </c:pt>
                <c:pt idx="12">
                  <c:v>145.00882731751196</c:v>
                </c:pt>
                <c:pt idx="13">
                  <c:v>140.00914255862008</c:v>
                </c:pt>
                <c:pt idx="14">
                  <c:v>135.00948114854751</c:v>
                </c:pt>
                <c:pt idx="15">
                  <c:v>130.0098457810023</c:v>
                </c:pt>
                <c:pt idx="16">
                  <c:v>125.01023958060395</c:v>
                </c:pt>
                <c:pt idx="17">
                  <c:v>120.01066619263473</c:v>
                </c:pt>
                <c:pt idx="18">
                  <c:v>115.01112989619743</c:v>
                </c:pt>
                <c:pt idx="19">
                  <c:v>110.01163574822438</c:v>
                </c:pt>
                <c:pt idx="20">
                  <c:v>107.51190631739351</c:v>
                </c:pt>
                <c:pt idx="21">
                  <c:v>105.01218976861686</c:v>
                </c:pt>
                <c:pt idx="22">
                  <c:v>102.51248704426207</c:v>
                </c:pt>
                <c:pt idx="23">
                  <c:v>100.01279918090484</c:v>
                </c:pt>
                <c:pt idx="24">
                  <c:v>97.513127321402223</c:v>
                </c:pt>
                <c:pt idx="25">
                  <c:v>95.013472728871449</c:v>
                </c:pt>
                <c:pt idx="26">
                  <c:v>92.513836802934506</c:v>
                </c:pt>
                <c:pt idx="27">
                  <c:v>90.014221098668628</c:v>
                </c:pt>
                <c:pt idx="28">
                  <c:v>87.514627348803813</c:v>
                </c:pt>
                <c:pt idx="29">
                  <c:v>82.515513692880816</c:v>
                </c:pt>
                <c:pt idx="30">
                  <c:v>77.516514369519996</c:v>
                </c:pt>
                <c:pt idx="31">
                  <c:v>72.517653023246694</c:v>
                </c:pt>
                <c:pt idx="32">
                  <c:v>67.518960300052015</c:v>
                </c:pt>
                <c:pt idx="33">
                  <c:v>62.520476645655862</c:v>
                </c:pt>
                <c:pt idx="34">
                  <c:v>57.522256562134281</c:v>
                </c:pt>
                <c:pt idx="35">
                  <c:v>52.524375293762418</c:v>
                </c:pt>
                <c:pt idx="36">
                  <c:v>47.526939728957935</c:v>
                </c:pt>
                <c:pt idx="37">
                  <c:v>42.530106983171343</c:v>
                </c:pt>
                <c:pt idx="38">
                  <c:v>37.534117812997813</c:v>
                </c:pt>
                <c:pt idx="39">
                  <c:v>32.539360780445577</c:v>
                </c:pt>
                <c:pt idx="40">
                  <c:v>27.546506130542216</c:v>
                </c:pt>
                <c:pt idx="41">
                  <c:v>22.556817151362466</c:v>
                </c:pt>
                <c:pt idx="42">
                  <c:v>17.572990639046047</c:v>
                </c:pt>
                <c:pt idx="43">
                  <c:v>12.601983970788092</c:v>
                </c:pt>
                <c:pt idx="44">
                  <c:v>10.127191120937731</c:v>
                </c:pt>
                <c:pt idx="45">
                  <c:v>7.6687678280151372</c:v>
                </c:pt>
                <c:pt idx="46">
                  <c:v>5.2497618993626753</c:v>
                </c:pt>
                <c:pt idx="47">
                  <c:v>2.9681644159311662</c:v>
                </c:pt>
              </c:numCache>
            </c:numRef>
          </c:xVal>
          <c:yVal>
            <c:numRef>
              <c:f>T0_Korrektur!$F$3:$F$50</c:f>
              <c:numCache>
                <c:formatCode>Standard</c:formatCode>
                <c:ptCount val="48"/>
                <c:pt idx="0">
                  <c:v>100.92</c:v>
                </c:pt>
                <c:pt idx="1">
                  <c:v>100.511</c:v>
                </c:pt>
                <c:pt idx="2">
                  <c:v>100.102</c:v>
                </c:pt>
                <c:pt idx="3">
                  <c:v>99.284499999999994</c:v>
                </c:pt>
                <c:pt idx="4">
                  <c:v>98.466899999999995</c:v>
                </c:pt>
                <c:pt idx="5">
                  <c:v>97.035899999999998</c:v>
                </c:pt>
                <c:pt idx="6">
                  <c:v>95.605000000000004</c:v>
                </c:pt>
                <c:pt idx="7">
                  <c:v>94.378500000000003</c:v>
                </c:pt>
                <c:pt idx="8">
                  <c:v>92.538700000000006</c:v>
                </c:pt>
                <c:pt idx="9">
                  <c:v>90.494600000000005</c:v>
                </c:pt>
                <c:pt idx="10">
                  <c:v>88.859200000000001</c:v>
                </c:pt>
                <c:pt idx="11">
                  <c:v>87.2239</c:v>
                </c:pt>
                <c:pt idx="12">
                  <c:v>85.588499999999996</c:v>
                </c:pt>
                <c:pt idx="13">
                  <c:v>84.770899999999997</c:v>
                </c:pt>
                <c:pt idx="14">
                  <c:v>83.34</c:v>
                </c:pt>
                <c:pt idx="15">
                  <c:v>81.500200000000007</c:v>
                </c:pt>
                <c:pt idx="16">
                  <c:v>80.069299999999998</c:v>
                </c:pt>
                <c:pt idx="17">
                  <c:v>78.433899999999994</c:v>
                </c:pt>
                <c:pt idx="18">
                  <c:v>76.798599999999993</c:v>
                </c:pt>
                <c:pt idx="19">
                  <c:v>75.572100000000006</c:v>
                </c:pt>
                <c:pt idx="20">
                  <c:v>74.754400000000004</c:v>
                </c:pt>
                <c:pt idx="21">
                  <c:v>74.396600000000007</c:v>
                </c:pt>
                <c:pt idx="22">
                  <c:v>73.502300000000005</c:v>
                </c:pt>
                <c:pt idx="23">
                  <c:v>72.607900000000001</c:v>
                </c:pt>
                <c:pt idx="24">
                  <c:v>71.7136</c:v>
                </c:pt>
                <c:pt idx="25">
                  <c:v>70.819299999999998</c:v>
                </c:pt>
                <c:pt idx="26">
                  <c:v>70.461600000000004</c:v>
                </c:pt>
                <c:pt idx="27">
                  <c:v>69.644000000000005</c:v>
                </c:pt>
                <c:pt idx="28">
                  <c:v>68.621899999999997</c:v>
                </c:pt>
                <c:pt idx="29">
                  <c:v>66.3733</c:v>
                </c:pt>
                <c:pt idx="30">
                  <c:v>63.920299999999997</c:v>
                </c:pt>
                <c:pt idx="31">
                  <c:v>61.671700000000001</c:v>
                </c:pt>
                <c:pt idx="32">
                  <c:v>58.605400000000003</c:v>
                </c:pt>
                <c:pt idx="33">
                  <c:v>55.538899999999998</c:v>
                </c:pt>
                <c:pt idx="34">
                  <c:v>53.290500000000002</c:v>
                </c:pt>
                <c:pt idx="35">
                  <c:v>50.428699999999999</c:v>
                </c:pt>
                <c:pt idx="36">
                  <c:v>47.158000000000001</c:v>
                </c:pt>
                <c:pt idx="37">
                  <c:v>44.091299999999997</c:v>
                </c:pt>
                <c:pt idx="38">
                  <c:v>41.4343</c:v>
                </c:pt>
                <c:pt idx="39">
                  <c:v>38.368000000000002</c:v>
                </c:pt>
                <c:pt idx="40">
                  <c:v>36.119399999999999</c:v>
                </c:pt>
                <c:pt idx="41">
                  <c:v>33.870800000000003</c:v>
                </c:pt>
                <c:pt idx="42">
                  <c:v>31.009</c:v>
                </c:pt>
                <c:pt idx="43">
                  <c:v>24.058800000000002</c:v>
                </c:pt>
                <c:pt idx="44">
                  <c:v>19.561599999999999</c:v>
                </c:pt>
                <c:pt idx="45">
                  <c:v>15.064399999999999</c:v>
                </c:pt>
                <c:pt idx="46">
                  <c:v>10.771599999999999</c:v>
                </c:pt>
                <c:pt idx="47">
                  <c:v>5.4567800000000002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52-4A1B-A17D-59DFB43CFB64}"/>
            </c:ext>
          </c:extLst>
        </c:ser>
        <c:ser>
          <c:idx val="5"/>
          <c:order val="5"/>
          <c:tx>
            <c:v>Fern -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C372E0"/>
              </a:solidFill>
              <a:ln>
                <a:solidFill>
                  <a:srgbClr val="C372E0"/>
                </a:solidFill>
                <a:prstDash val="solid"/>
              </a:ln>
            </c:spPr>
          </c:marker>
          <c:xVal>
            <c:numRef>
              <c:f>Hilfsdaten!$BT$4:$BT$51</c:f>
              <c:numCache>
                <c:formatCode>0.00</c:formatCode>
                <c:ptCount val="48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</c:numCache>
            </c:numRef>
          </c:xVal>
          <c:yVal>
            <c:numRef>
              <c:f>T0_Korrektur!$J$3:$J$50</c:f>
              <c:numCache>
                <c:formatCode>Standard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52-4A1B-A17D-59DFB43CFB64}"/>
            </c:ext>
          </c:extLst>
        </c:ser>
        <c:ser>
          <c:idx val="6"/>
          <c:order val="6"/>
          <c:tx>
            <c:v>Fern --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DAB5FF"/>
              </a:solidFill>
              <a:ln>
                <a:solidFill>
                  <a:srgbClr val="DAB5FF"/>
                </a:solidFill>
                <a:prstDash val="solid"/>
              </a:ln>
            </c:spPr>
          </c:marker>
          <c:xVal>
            <c:numRef>
              <c:f>Hilfsdaten!$BU$4:$BU$51</c:f>
              <c:numCache>
                <c:formatCode>0.00</c:formatCode>
                <c:ptCount val="48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</c:numCache>
            </c:numRef>
          </c:xVal>
          <c:yVal>
            <c:numRef>
              <c:f>T0_Korrektur!$N$3:$N$50</c:f>
              <c:numCache>
                <c:formatCode>Standard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852-4A1B-A17D-59DFB43CFB64}"/>
            </c:ext>
          </c:extLst>
        </c:ser>
        <c:ser>
          <c:idx val="7"/>
          <c:order val="7"/>
          <c:tx>
            <c:v>2-Schichtfall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Hilfsdaten!$A$4:$A$99</c:f>
              <c:numCache>
                <c:formatCode>Standard</c:formatCode>
                <c:ptCount val="96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Hilfsdaten!$BP$4:$BP$99</c:f>
              <c:numCache>
                <c:formatCode>0.00</c:formatCode>
                <c:ptCount val="96"/>
                <c:pt idx="0">
                  <c:v>3.7625176294030185</c:v>
                </c:pt>
                <c:pt idx="1">
                  <c:v>7.4227815641708865</c:v>
                </c:pt>
                <c:pt idx="2">
                  <c:v>11.89659602511605</c:v>
                </c:pt>
                <c:pt idx="3">
                  <c:v>16.536337908309811</c:v>
                </c:pt>
                <c:pt idx="4">
                  <c:v>21.233513827164504</c:v>
                </c:pt>
                <c:pt idx="5">
                  <c:v>30.694557763589071</c:v>
                </c:pt>
                <c:pt idx="6">
                  <c:v>40.19216711682224</c:v>
                </c:pt>
                <c:pt idx="7">
                  <c:v>47.292873895614385</c:v>
                </c:pt>
                <c:pt idx="8">
                  <c:v>49.242447487936943</c:v>
                </c:pt>
                <c:pt idx="9">
                  <c:v>51.192989161852744</c:v>
                </c:pt>
                <c:pt idx="10">
                  <c:v>53.144145506425716</c:v>
                </c:pt>
                <c:pt idx="11">
                  <c:v>55.09571641922507</c:v>
                </c:pt>
                <c:pt idx="12">
                  <c:v>57.047580129736218</c:v>
                </c:pt>
                <c:pt idx="13">
                  <c:v>58.999658294493898</c:v>
                </c:pt>
                <c:pt idx="14">
                  <c:v>60.951898226023019</c:v>
                </c:pt>
                <c:pt idx="15">
                  <c:v>62.904263186901289</c:v>
                </c:pt>
                <c:pt idx="16">
                  <c:v>64.8567267795314</c:v>
                </c:pt>
                <c:pt idx="17">
                  <c:v>66.809269547993409</c:v>
                </c:pt>
                <c:pt idx="18">
                  <c:v>68.761876837251748</c:v>
                </c:pt>
                <c:pt idx="19">
                  <c:v>70.714537398519212</c:v>
                </c:pt>
                <c:pt idx="20">
                  <c:v>71.690884835660853</c:v>
                </c:pt>
                <c:pt idx="21">
                  <c:v>72.667242454048932</c:v>
                </c:pt>
                <c:pt idx="22">
                  <c:v>73.643609437287324</c:v>
                </c:pt>
                <c:pt idx="23">
                  <c:v>74.619985053985999</c:v>
                </c:pt>
                <c:pt idx="24">
                  <c:v>75.59636864697859</c:v>
                </c:pt>
                <c:pt idx="25">
                  <c:v>76.57275962414036</c:v>
                </c:pt>
                <c:pt idx="26">
                  <c:v>77.549157450536484</c:v>
                </c:pt>
                <c:pt idx="27">
                  <c:v>78.525561641680596</c:v>
                </c:pt>
                <c:pt idx="28">
                  <c:v>79.501971757725073</c:v>
                </c:pt>
                <c:pt idx="29">
                  <c:v>81.454808198832168</c:v>
                </c:pt>
                <c:pt idx="30">
                  <c:v>83.407663972712939</c:v>
                </c:pt>
                <c:pt idx="31">
                  <c:v>85.360536731731941</c:v>
                </c:pt>
                <c:pt idx="32">
                  <c:v>87.313424493557449</c:v>
                </c:pt>
                <c:pt idx="33">
                  <c:v>89.266325572770995</c:v>
                </c:pt>
                <c:pt idx="34">
                  <c:v>91.219238527286336</c:v>
                </c:pt>
                <c:pt idx="35">
                  <c:v>93.172162115966799</c:v>
                </c:pt>
                <c:pt idx="36">
                  <c:v>95.125095264802795</c:v>
                </c:pt>
                <c:pt idx="37">
                  <c:v>97.078037039697762</c:v>
                </c:pt>
                <c:pt idx="38">
                  <c:v>99.030986624404179</c:v>
                </c:pt>
                <c:pt idx="39">
                  <c:v>100.98394330250682</c:v>
                </c:pt>
                <c:pt idx="40">
                  <c:v>102.93690644261343</c:v>
                </c:pt>
                <c:pt idx="41">
                  <c:v>104.88987548610544</c:v>
                </c:pt>
                <c:pt idx="42">
                  <c:v>106.84284993694706</c:v>
                </c:pt>
                <c:pt idx="43">
                  <c:v>108.7958293531602</c:v>
                </c:pt>
                <c:pt idx="44">
                  <c:v>109.7723207981565</c:v>
                </c:pt>
                <c:pt idx="45">
                  <c:v>110.74881333965595</c:v>
                </c:pt>
                <c:pt idx="46">
                  <c:v>111.72530693460558</c:v>
                </c:pt>
                <c:pt idx="47">
                  <c:v>112.70180154217729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852-4A1B-A17D-59DFB43CFB64}"/>
            </c:ext>
          </c:extLst>
        </c:ser>
        <c:ser>
          <c:idx val="8"/>
          <c:order val="8"/>
          <c:tx>
            <c:v>3-Schichtfall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Hilfsdaten!$A$4:$A$99</c:f>
              <c:numCache>
                <c:formatCode>Standard</c:formatCode>
                <c:ptCount val="96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Hilfsdaten!$BQ$4:$BQ$99</c:f>
              <c:numCache>
                <c:formatCode>0.00</c:formatCode>
                <c:ptCount val="96"/>
                <c:pt idx="0">
                  <c:v>3.6808476358127198</c:v>
                </c:pt>
                <c:pt idx="1">
                  <c:v>7.2616611170451115</c:v>
                </c:pt>
                <c:pt idx="2">
                  <c:v>11.638366026796612</c:v>
                </c:pt>
                <c:pt idx="3">
                  <c:v>16.177396703509938</c:v>
                </c:pt>
                <c:pt idx="4">
                  <c:v>20.772614740709145</c:v>
                </c:pt>
                <c:pt idx="5">
                  <c:v>30.02829528119716</c:v>
                </c:pt>
                <c:pt idx="6">
                  <c:v>32.997659256279917</c:v>
                </c:pt>
                <c:pt idx="7">
                  <c:v>35.707250958785579</c:v>
                </c:pt>
                <c:pt idx="8">
                  <c:v>38.419146343319298</c:v>
                </c:pt>
                <c:pt idx="9">
                  <c:v>41.13238834847553</c:v>
                </c:pt>
                <c:pt idx="10">
                  <c:v>43.846485372659906</c:v>
                </c:pt>
                <c:pt idx="11">
                  <c:v>46.561159069437778</c:v>
                </c:pt>
                <c:pt idx="12">
                  <c:v>49.276240053617542</c:v>
                </c:pt>
                <c:pt idx="13">
                  <c:v>51.991619347891202</c:v>
                </c:pt>
                <c:pt idx="14">
                  <c:v>54.707223662939938</c:v>
                </c:pt>
                <c:pt idx="15">
                  <c:v>57.423001896283566</c:v>
                </c:pt>
                <c:pt idx="16">
                  <c:v>60.138917328342629</c:v>
                </c:pt>
                <c:pt idx="17">
                  <c:v>62.854942895548163</c:v>
                </c:pt>
                <c:pt idx="18">
                  <c:v>65.571058212456123</c:v>
                </c:pt>
                <c:pt idx="19">
                  <c:v>67.691268636844427</c:v>
                </c:pt>
                <c:pt idx="20">
                  <c:v>68.456117962552383</c:v>
                </c:pt>
                <c:pt idx="21">
                  <c:v>69.220975264027132</c:v>
                </c:pt>
                <c:pt idx="22">
                  <c:v>69.985839901721732</c:v>
                </c:pt>
                <c:pt idx="23">
                  <c:v>70.750711302681168</c:v>
                </c:pt>
                <c:pt idx="24">
                  <c:v>71.515588952095598</c:v>
                </c:pt>
                <c:pt idx="25">
                  <c:v>72.280472386107391</c:v>
                </c:pt>
                <c:pt idx="26">
                  <c:v>73.045361185660269</c:v>
                </c:pt>
                <c:pt idx="27">
                  <c:v>73.810254971218143</c:v>
                </c:pt>
                <c:pt idx="28">
                  <c:v>74.575153398213956</c:v>
                </c:pt>
                <c:pt idx="29">
                  <c:v>76.104962949997542</c:v>
                </c:pt>
                <c:pt idx="30">
                  <c:v>77.634787646655099</c:v>
                </c:pt>
                <c:pt idx="31">
                  <c:v>79.164625649100159</c:v>
                </c:pt>
                <c:pt idx="32">
                  <c:v>80.694475404417204</c:v>
                </c:pt>
                <c:pt idx="33">
                  <c:v>82.22433559228611</c:v>
                </c:pt>
                <c:pt idx="34">
                  <c:v>83.754205083007875</c:v>
                </c:pt>
                <c:pt idx="35">
                  <c:v>85.284082904303091</c:v>
                </c:pt>
                <c:pt idx="36">
                  <c:v>86.813968214816015</c:v>
                </c:pt>
                <c:pt idx="37">
                  <c:v>88.343860282795731</c:v>
                </c:pt>
                <c:pt idx="38">
                  <c:v>89.873758468811701</c:v>
                </c:pt>
                <c:pt idx="39">
                  <c:v>91.403662211639841</c:v>
                </c:pt>
                <c:pt idx="40">
                  <c:v>92.933571016661205</c:v>
                </c:pt>
                <c:pt idx="41">
                  <c:v>94.463484446266165</c:v>
                </c:pt>
                <c:pt idx="42">
                  <c:v>95.993402111871077</c:v>
                </c:pt>
                <c:pt idx="43">
                  <c:v>97.523323667239936</c:v>
                </c:pt>
                <c:pt idx="44">
                  <c:v>98.288285805565963</c:v>
                </c:pt>
                <c:pt idx="45">
                  <c:v>99.053248802868694</c:v>
                </c:pt>
                <c:pt idx="46">
                  <c:v>99.818212625421367</c:v>
                </c:pt>
                <c:pt idx="47">
                  <c:v>100.58317724124012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852-4A1B-A17D-59DFB43CF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161792"/>
        <c:axId val="226163712"/>
      </c:scatterChart>
      <c:valAx>
        <c:axId val="226161792"/>
        <c:scaling>
          <c:orientation val="minMax"/>
          <c:max val="2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Offset [m]</a:t>
                </a:r>
              </a:p>
            </c:rich>
          </c:tx>
          <c:layout>
            <c:manualLayout>
              <c:xMode val="edge"/>
              <c:yMode val="edge"/>
              <c:x val="0.49910920225880856"/>
              <c:y val="0.9131021657052226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26163712"/>
        <c:crosses val="autoZero"/>
        <c:crossBetween val="midCat"/>
      </c:valAx>
      <c:valAx>
        <c:axId val="22616371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Laufzeit [ms]</a:t>
                </a:r>
              </a:p>
            </c:rich>
          </c:tx>
          <c:layout>
            <c:manualLayout>
              <c:xMode val="edge"/>
              <c:yMode val="edge"/>
              <c:x val="3.6541889483065956E-2"/>
              <c:y val="0.43048156413603378"/>
            </c:manualLayout>
          </c:layout>
          <c:overlay val="0"/>
          <c:spPr>
            <a:noFill/>
            <a:ln w="25400">
              <a:noFill/>
            </a:ln>
          </c:spPr>
        </c:title>
        <c:numFmt formatCode="Standard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2616179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650698742871045"/>
          <c:y val="0.57754052802223255"/>
          <c:w val="0.10427816843750148"/>
          <c:h val="0.266042921105450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2</xdr:row>
      <xdr:rowOff>152400</xdr:rowOff>
    </xdr:from>
    <xdr:to>
      <xdr:col>14</xdr:col>
      <xdr:colOff>361950</xdr:colOff>
      <xdr:row>45</xdr:row>
      <xdr:rowOff>0</xdr:rowOff>
    </xdr:to>
    <xdr:graphicFrame macro="">
      <xdr:nvGraphicFramePr>
        <xdr:cNvPr id="3278" name="Diagramm 1">
          <a:extLst>
            <a:ext uri="{FF2B5EF4-FFF2-40B4-BE49-F238E27FC236}">
              <a16:creationId xmlns:a16="http://schemas.microsoft.com/office/drawing/2014/main" id="{BA64A5F7-77B8-49F4-B8D3-8A2F2AC88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0.78592</cdr:x>
      <cdr:y>0.04618</cdr:y>
    </cdr:from>
    <cdr:to>
      <cdr:x>0.79855</cdr:x>
      <cdr:y>0.10756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364882" y="318105"/>
          <a:ext cx="134438" cy="4186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de-DE"/>
        </a:p>
      </cdr:txBody>
    </cdr:sp>
  </cdr:relSizeAnchor>
  <cdr:relSizeAnchor xmlns:cdr="http://schemas.openxmlformats.org/drawingml/2006/chartDrawing">
    <cdr:from>
      <cdr:x>0.77031</cdr:x>
      <cdr:y>0.05308</cdr:y>
    </cdr:from>
    <cdr:to>
      <cdr:x>0.78294</cdr:x>
      <cdr:y>0.11446</cdr:y>
    </cdr:to>
    <cdr:sp macro="" textlink="">
      <cdr:nvSpPr>
        <cdr:cNvPr id="614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98811" y="365177"/>
          <a:ext cx="134438" cy="4186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de-DE"/>
        </a:p>
      </cdr:txBody>
    </cdr:sp>
  </cdr:relSizeAnchor>
  <cdr:relSizeAnchor xmlns:cdr="http://schemas.openxmlformats.org/drawingml/2006/chartDrawing">
    <cdr:from>
      <cdr:x>0.8176</cdr:x>
      <cdr:y>0.02679</cdr:y>
    </cdr:from>
    <cdr:to>
      <cdr:x>0.97793</cdr:x>
      <cdr:y>0.06162</cdr:y>
    </cdr:to>
    <cdr:sp macro="" textlink="Laufzeitkurven!$G$2">
      <cdr:nvSpPr>
        <cdr:cNvPr id="6150" name="Text Box 6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8690985" y="178800"/>
          <a:ext cx="1704313" cy="2324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0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fld id="{0E34B5CB-D4C6-4D1E-A0F9-DAF9F18BFEB0}" type="TxLink">
            <a:rPr lang="de-D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pPr algn="r" rtl="0">
              <a:defRPr sz="1000"/>
            </a:pPr>
            <a:t>3D-Seismik Erfurt 2026</a:t>
          </a:fld>
          <a:endParaRPr lang="de-DE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10</xdr:row>
      <xdr:rowOff>47625</xdr:rowOff>
    </xdr:from>
    <xdr:to>
      <xdr:col>18</xdr:col>
      <xdr:colOff>647700</xdr:colOff>
      <xdr:row>58</xdr:row>
      <xdr:rowOff>114300</xdr:rowOff>
    </xdr:to>
    <xdr:graphicFrame macro="">
      <xdr:nvGraphicFramePr>
        <xdr:cNvPr id="1435" name="Diagramm 1">
          <a:extLst>
            <a:ext uri="{FF2B5EF4-FFF2-40B4-BE49-F238E27FC236}">
              <a16:creationId xmlns:a16="http://schemas.microsoft.com/office/drawing/2014/main" id="{4BAF227B-C22F-4A73-9ADA-EFC83D9DE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254900</xdr:colOff>
      <xdr:row>10</xdr:row>
      <xdr:rowOff>146279</xdr:rowOff>
    </xdr:from>
    <xdr:ext cx="1704313" cy="232436"/>
    <xdr:sp macro="" textlink="Laufzeitkurven!$G$2">
      <xdr:nvSpPr>
        <xdr:cNvPr id="1028" name="Text Box 4">
          <a:extLst>
            <a:ext uri="{FF2B5EF4-FFF2-40B4-BE49-F238E27FC236}">
              <a16:creationId xmlns:a16="http://schemas.microsoft.com/office/drawing/2014/main" id="{CC24415F-72A8-4450-BE61-1A64B869B53A}"/>
            </a:ext>
          </a:extLst>
        </xdr:cNvPr>
        <xdr:cNvSpPr txBox="1">
          <a:spLocks noChangeArrowheads="1" noTextEdit="1"/>
        </xdr:cNvSpPr>
      </xdr:nvSpPr>
      <xdr:spPr bwMode="auto">
        <a:xfrm>
          <a:off x="11259076" y="1793544"/>
          <a:ext cx="1704313" cy="2324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0" tIns="27432" rIns="27432" bIns="27432" anchor="ctr" upright="1">
          <a:spAutoFit/>
        </a:bodyPr>
        <a:lstStyle/>
        <a:p>
          <a:pPr algn="r" rtl="0">
            <a:defRPr sz="1000"/>
          </a:pPr>
          <a:fld id="{2137CAB9-9630-4967-853F-2D3B7305A704}" type="TxLink">
            <a:rPr lang="de-D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pPr algn="r" rtl="0">
              <a:defRPr sz="1000"/>
            </a:pPr>
            <a:t>3D-Seismik Erfurt 2026</a:t>
          </a:fld>
          <a:endParaRPr lang="de-DE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106456</xdr:colOff>
      <xdr:row>13</xdr:row>
      <xdr:rowOff>98052</xdr:rowOff>
    </xdr:from>
    <xdr:to>
      <xdr:col>18</xdr:col>
      <xdr:colOff>420781</xdr:colOff>
      <xdr:row>59</xdr:row>
      <xdr:rowOff>140634</xdr:rowOff>
    </xdr:to>
    <xdr:graphicFrame macro="">
      <xdr:nvGraphicFramePr>
        <xdr:cNvPr id="4505" name="Diagramm 1">
          <a:extLst>
            <a:ext uri="{FF2B5EF4-FFF2-40B4-BE49-F238E27FC236}">
              <a16:creationId xmlns:a16="http://schemas.microsoft.com/office/drawing/2014/main" id="{F414E711-CFB4-4836-9B16-B83D503E7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15</xdr:col>
      <xdr:colOff>94662</xdr:colOff>
      <xdr:row>14</xdr:row>
      <xdr:rowOff>84220</xdr:rowOff>
    </xdr:from>
    <xdr:ext cx="1704313" cy="232436"/>
    <xdr:sp macro="" textlink="Laufzeitkurven!$G$2">
      <xdr:nvSpPr>
        <xdr:cNvPr id="4098" name="Text Box 2">
          <a:extLst>
            <a:ext uri="{FF2B5EF4-FFF2-40B4-BE49-F238E27FC236}">
              <a16:creationId xmlns:a16="http://schemas.microsoft.com/office/drawing/2014/main" id="{B19B4AB9-47CC-4367-B4D9-2CFDE8DCA2D5}"/>
            </a:ext>
          </a:extLst>
        </xdr:cNvPr>
        <xdr:cNvSpPr txBox="1">
          <a:spLocks noChangeArrowheads="1" noTextEdit="1"/>
        </xdr:cNvSpPr>
      </xdr:nvSpPr>
      <xdr:spPr bwMode="auto">
        <a:xfrm>
          <a:off x="10482515" y="2370220"/>
          <a:ext cx="1704313" cy="2324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0" tIns="27432" rIns="27432" bIns="27432" anchor="ctr" upright="1">
          <a:spAutoFit/>
        </a:bodyPr>
        <a:lstStyle/>
        <a:p>
          <a:pPr algn="r" rtl="0">
            <a:defRPr sz="1000"/>
          </a:pPr>
          <a:fld id="{AD808537-1CD2-4785-8B08-3C510E257989}" type="TxLink">
            <a:rPr lang="de-D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pPr algn="r" rtl="0">
              <a:defRPr sz="1000"/>
            </a:pPr>
            <a:t>3D-Seismik Erfurt 2026</a:t>
          </a:fld>
          <a:endParaRPr lang="de-DE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</xdr:row>
      <xdr:rowOff>0</xdr:rowOff>
    </xdr:from>
    <xdr:to>
      <xdr:col>14</xdr:col>
      <xdr:colOff>371475</xdr:colOff>
      <xdr:row>45</xdr:row>
      <xdr:rowOff>0</xdr:rowOff>
    </xdr:to>
    <xdr:graphicFrame macro="">
      <xdr:nvGraphicFramePr>
        <xdr:cNvPr id="5529" name="Diagramm 1">
          <a:extLst>
            <a:ext uri="{FF2B5EF4-FFF2-40B4-BE49-F238E27FC236}">
              <a16:creationId xmlns:a16="http://schemas.microsoft.com/office/drawing/2014/main" id="{63E2BC69-3219-4E51-8CA0-62039A72D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661781</xdr:colOff>
      <xdr:row>2</xdr:row>
      <xdr:rowOff>56807</xdr:rowOff>
    </xdr:from>
    <xdr:ext cx="1704313" cy="232436"/>
    <xdr:sp macro="" textlink="Laufzeitkurven!$G$2">
      <xdr:nvSpPr>
        <xdr:cNvPr id="5122" name="Text Box 2">
          <a:extLst>
            <a:ext uri="{FF2B5EF4-FFF2-40B4-BE49-F238E27FC236}">
              <a16:creationId xmlns:a16="http://schemas.microsoft.com/office/drawing/2014/main" id="{830A9FD1-25F8-4C3D-8833-08C2FE83E2F1}"/>
            </a:ext>
          </a:extLst>
        </xdr:cNvPr>
        <xdr:cNvSpPr txBox="1">
          <a:spLocks noChangeArrowheads="1" noTextEdit="1"/>
        </xdr:cNvSpPr>
      </xdr:nvSpPr>
      <xdr:spPr bwMode="auto">
        <a:xfrm>
          <a:off x="9043781" y="370572"/>
          <a:ext cx="1704313" cy="2324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0" tIns="27432" rIns="27432" bIns="27432" anchor="ctr" upright="1">
          <a:spAutoFit/>
        </a:bodyPr>
        <a:lstStyle/>
        <a:p>
          <a:pPr algn="r" rtl="0">
            <a:defRPr sz="1000"/>
          </a:pPr>
          <a:fld id="{A06F21D4-3331-42CE-8FA0-E8C8EE0F686C}" type="TxLink">
            <a:rPr lang="de-D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pPr algn="r" rtl="0">
              <a:defRPr sz="1000"/>
            </a:pPr>
            <a:t>3D-Seismik Erfurt 2026</a:t>
          </a:fld>
          <a:endParaRPr lang="de-DE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indexed="9"/>
  </sheetPr>
  <dimension ref="A1:AR112"/>
  <sheetViews>
    <sheetView workbookViewId="0">
      <selection activeCell="F2" sqref="F2"/>
    </sheetView>
  </sheetViews>
  <sheetFormatPr baseColWidth="10" defaultColWidth="11.5703125" defaultRowHeight="12" x14ac:dyDescent="0.2"/>
  <cols>
    <col min="1" max="5" width="11.5703125" style="4" customWidth="1"/>
    <col min="6" max="12" width="11.5703125" style="5" customWidth="1"/>
    <col min="13" max="13" width="11.5703125" style="2" customWidth="1"/>
    <col min="14" max="14" width="11.5703125" style="3" customWidth="1"/>
    <col min="15" max="17" width="11.5703125" style="2"/>
    <col min="18" max="18" width="13.42578125" style="2" bestFit="1" customWidth="1"/>
    <col min="19" max="16384" width="11.5703125" style="2"/>
  </cols>
  <sheetData>
    <row r="1" spans="1:44" x14ac:dyDescent="0.2">
      <c r="A1" s="2"/>
      <c r="B1" s="2"/>
      <c r="C1" s="209" t="s">
        <v>112</v>
      </c>
      <c r="D1" s="209">
        <v>2</v>
      </c>
      <c r="E1" s="209"/>
      <c r="F1" s="212">
        <v>3</v>
      </c>
      <c r="G1" s="210"/>
      <c r="H1" s="212">
        <v>1</v>
      </c>
    </row>
    <row r="2" spans="1:44" x14ac:dyDescent="0.2">
      <c r="A2" s="26"/>
      <c r="B2" s="26" t="s">
        <v>85</v>
      </c>
      <c r="C2" s="208">
        <v>96.25</v>
      </c>
      <c r="D2" s="27">
        <v>1.7</v>
      </c>
      <c r="E2" s="206">
        <v>195</v>
      </c>
      <c r="F2" s="27">
        <v>1.6</v>
      </c>
      <c r="G2" s="206">
        <v>-2.5</v>
      </c>
      <c r="H2" s="27">
        <v>1.8</v>
      </c>
      <c r="I2" s="206"/>
      <c r="J2" s="206"/>
      <c r="K2" s="206"/>
      <c r="L2" s="206"/>
      <c r="M2" s="144"/>
      <c r="N2" s="144"/>
      <c r="O2" s="144"/>
      <c r="P2" s="144"/>
      <c r="Q2" s="29"/>
      <c r="R2" s="211" t="s">
        <v>134</v>
      </c>
      <c r="S2" s="211">
        <v>0</v>
      </c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</row>
    <row r="3" spans="1:44" s="1" customFormat="1" ht="12.75" x14ac:dyDescent="0.2">
      <c r="A3" s="56" t="s">
        <v>1</v>
      </c>
      <c r="B3" s="56" t="s">
        <v>0</v>
      </c>
      <c r="C3" s="56" t="s">
        <v>5</v>
      </c>
      <c r="D3" s="71" t="s">
        <v>4</v>
      </c>
      <c r="E3" s="71" t="s">
        <v>5</v>
      </c>
      <c r="F3" s="71" t="s">
        <v>45</v>
      </c>
      <c r="G3" s="71" t="s">
        <v>5</v>
      </c>
      <c r="H3" s="71" t="s">
        <v>46</v>
      </c>
      <c r="I3" s="71" t="s">
        <v>5</v>
      </c>
      <c r="J3" s="71" t="s">
        <v>37</v>
      </c>
      <c r="K3" s="71" t="s">
        <v>5</v>
      </c>
      <c r="L3" s="71" t="s">
        <v>38</v>
      </c>
      <c r="M3" s="71" t="s">
        <v>5</v>
      </c>
      <c r="N3" s="71" t="s">
        <v>39</v>
      </c>
      <c r="O3" s="71" t="s">
        <v>5</v>
      </c>
      <c r="P3" s="71" t="s">
        <v>40</v>
      </c>
      <c r="Q3" s="35"/>
      <c r="R3" s="211" t="s">
        <v>117</v>
      </c>
      <c r="S3" s="211">
        <v>1</v>
      </c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</row>
    <row r="4" spans="1:44" ht="12.75" x14ac:dyDescent="0.2">
      <c r="A4" s="57">
        <v>1</v>
      </c>
      <c r="B4" s="57">
        <v>0</v>
      </c>
      <c r="C4" s="142">
        <f>IF(C$2="","",SQRT(($B4-C$2)^2+D$2^2))</f>
        <v>96.26501181633958</v>
      </c>
      <c r="D4">
        <f>SUMIFS(Tabelle1!$C$1:$C$1000,Tabelle1!$A$1:$A$1000,$A4+$S$4,Tabelle1!$B$1:$B$1000,D$1,Tabelle1!$D$1:$D$1000,$S$3)</f>
        <v>69.439499999999995</v>
      </c>
      <c r="E4" s="142">
        <f>IF(E$2="","",SQRT(($B4-E$2)^2+F$2^2))</f>
        <v>195.00656399208719</v>
      </c>
      <c r="F4">
        <f>SUMIFS(Tabelle1!$C$1:$C$1000,Tabelle1!$A$1:$A$1000,$A4+$S$4,Tabelle1!$B$1:$B$1000,F$1,Tabelle1!$D$1:$D$1000,$S$3)</f>
        <v>100.92</v>
      </c>
      <c r="G4" s="142">
        <f>IF(G$2="","",SQRT(($B4-G$2)^2+H$2^2))</f>
        <v>3.0805843601498726</v>
      </c>
      <c r="H4">
        <f>SUMIFS(Tabelle1!$C$1:$C$1000,Tabelle1!$A$1:$A$1000,$A4+$S$4,Tabelle1!$B$1:$B$1000,H$1,Tabelle1!$D$1:$D$1000,$S$3)</f>
        <v>7.9097900000000001</v>
      </c>
      <c r="I4" s="142" t="str">
        <f t="shared" ref="I4:I57" si="0">IF(I$2="","",SQRT(($B4-I$2)^2+J$2^2))</f>
        <v/>
      </c>
      <c r="J4" s="207"/>
      <c r="K4" s="142" t="str">
        <f t="shared" ref="K4:K57" si="1">IF(K$2="","",SQRT(($B4-K$2)^2+L$2^2))</f>
        <v/>
      </c>
      <c r="L4" s="207"/>
      <c r="M4" s="142" t="str">
        <f t="shared" ref="M4:M57" si="2">IF(M$2="","",SQRT(($B4-M$2)^2+N$2^2))</f>
        <v/>
      </c>
      <c r="N4"/>
      <c r="O4" s="142" t="str">
        <f t="shared" ref="O4:O57" si="3">IF(O$2="","",SQRT(($B4-O$2)^2+P$2^2))</f>
        <v/>
      </c>
      <c r="P4"/>
      <c r="Q4" s="29"/>
      <c r="R4" s="211" t="s">
        <v>133</v>
      </c>
      <c r="S4" s="211">
        <v>0</v>
      </c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</row>
    <row r="5" spans="1:44" ht="12.75" x14ac:dyDescent="0.2">
      <c r="A5" s="57">
        <v>2</v>
      </c>
      <c r="B5" s="57">
        <v>2.5</v>
      </c>
      <c r="C5" s="142">
        <f t="shared" ref="C5:G51" si="4">IF(C$2="","",SQRT(($B5-C$2)^2+D$2^2))</f>
        <v>93.765412066497092</v>
      </c>
      <c r="D5">
        <f>SUMIFS(Tabelle1!$C$1:$C$1000,Tabelle1!$A$1:$A$1000,$A5+$S$4,Tabelle1!$B$1:$B$1000,D$1,Tabelle1!$D$1:$D$1000,$S$3)</f>
        <v>68.826300000000003</v>
      </c>
      <c r="E5" s="142">
        <f t="shared" si="4"/>
        <v>192.50664923581212</v>
      </c>
      <c r="F5">
        <f>SUMIFS(Tabelle1!$C$1:$C$1000,Tabelle1!$A$1:$A$1000,$A5+$S$4,Tabelle1!$B$1:$B$1000,F$1,Tabelle1!$D$1:$D$1000,$S$3)</f>
        <v>100.511</v>
      </c>
      <c r="G5" s="142">
        <f t="shared" si="4"/>
        <v>5.3141321022345691</v>
      </c>
      <c r="H5">
        <f>SUMIFS(Tabelle1!$C$1:$C$1000,Tabelle1!$A$1:$A$1000,$A5+$S$4,Tabelle1!$B$1:$B$1000,H$1,Tabelle1!$D$1:$D$1000,$S$3)</f>
        <v>13.6335</v>
      </c>
      <c r="I5" s="142" t="str">
        <f t="shared" si="0"/>
        <v/>
      </c>
      <c r="J5" s="207"/>
      <c r="K5" s="142" t="str">
        <f t="shared" si="1"/>
        <v/>
      </c>
      <c r="L5" s="207"/>
      <c r="M5" s="142" t="str">
        <f t="shared" si="2"/>
        <v/>
      </c>
      <c r="N5"/>
      <c r="O5" s="142" t="str">
        <f t="shared" si="3"/>
        <v/>
      </c>
      <c r="P5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</row>
    <row r="6" spans="1:44" ht="12.75" x14ac:dyDescent="0.2">
      <c r="A6" s="57">
        <v>3</v>
      </c>
      <c r="B6" s="57">
        <v>5</v>
      </c>
      <c r="C6" s="142">
        <f t="shared" si="4"/>
        <v>91.265834242612385</v>
      </c>
      <c r="D6">
        <f>SUMIFS(Tabelle1!$C$1:$C$1000,Tabelle1!$A$1:$A$1000,$A6+$S$4,Tabelle1!$B$1:$B$1000,D$1,Tabelle1!$D$1:$D$1000,$S$3)</f>
        <v>68.008600000000001</v>
      </c>
      <c r="E6" s="142">
        <f t="shared" si="4"/>
        <v>190.00673672267519</v>
      </c>
      <c r="F6">
        <f>SUMIFS(Tabelle1!$C$1:$C$1000,Tabelle1!$A$1:$A$1000,$A6+$S$4,Tabelle1!$B$1:$B$1000,F$1,Tabelle1!$D$1:$D$1000,$S$3)</f>
        <v>100.102</v>
      </c>
      <c r="G6" s="142">
        <f t="shared" si="4"/>
        <v>7.712976079309465</v>
      </c>
      <c r="H6">
        <f>SUMIFS(Tabelle1!$C$1:$C$1000,Tabelle1!$A$1:$A$1000,$A6+$S$4,Tabelle1!$B$1:$B$1000,H$1,Tabelle1!$D$1:$D$1000,$S$3)</f>
        <v>18.5032</v>
      </c>
      <c r="I6" s="142" t="str">
        <f t="shared" si="0"/>
        <v/>
      </c>
      <c r="J6" s="207"/>
      <c r="K6" s="142" t="str">
        <f t="shared" si="1"/>
        <v/>
      </c>
      <c r="L6" s="207"/>
      <c r="M6" s="142" t="str">
        <f t="shared" si="2"/>
        <v/>
      </c>
      <c r="N6"/>
      <c r="O6" s="142" t="str">
        <f t="shared" si="3"/>
        <v/>
      </c>
      <c r="P6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</row>
    <row r="7" spans="1:44" ht="12.75" x14ac:dyDescent="0.2">
      <c r="A7" s="57">
        <v>4</v>
      </c>
      <c r="B7" s="57">
        <v>7.5</v>
      </c>
      <c r="C7" s="142">
        <f t="shared" si="4"/>
        <v>88.766280196930637</v>
      </c>
      <c r="D7">
        <f>SUMIFS(Tabelle1!$C$1:$C$1000,Tabelle1!$A$1:$A$1000,$A7+$S$4,Tabelle1!$B$1:$B$1000,D$1,Tabelle1!$D$1:$D$1000,$S$3)</f>
        <v>67.190899999999999</v>
      </c>
      <c r="E7" s="142">
        <f t="shared" si="4"/>
        <v>187.50682654239552</v>
      </c>
      <c r="F7">
        <f>SUMIFS(Tabelle1!$C$1:$C$1000,Tabelle1!$A$1:$A$1000,$A7+$S$4,Tabelle1!$B$1:$B$1000,F$1,Tabelle1!$D$1:$D$1000,$S$3)</f>
        <v>99.284499999999994</v>
      </c>
      <c r="G7" s="142">
        <f t="shared" si="4"/>
        <v>10.160708636704429</v>
      </c>
      <c r="H7">
        <f>SUMIFS(Tabelle1!$C$1:$C$1000,Tabelle1!$A$1:$A$1000,$A7+$S$4,Tabelle1!$B$1:$B$1000,H$1,Tabelle1!$D$1:$D$1000,$S$3)</f>
        <v>23.624700000000001</v>
      </c>
      <c r="I7" s="142" t="str">
        <f t="shared" si="0"/>
        <v/>
      </c>
      <c r="J7" s="207"/>
      <c r="K7" s="142" t="str">
        <f t="shared" si="1"/>
        <v/>
      </c>
      <c r="L7" s="207"/>
      <c r="M7" s="142" t="str">
        <f t="shared" si="2"/>
        <v/>
      </c>
      <c r="N7"/>
      <c r="O7" s="142" t="str">
        <f t="shared" si="3"/>
        <v/>
      </c>
      <c r="P7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12.75" x14ac:dyDescent="0.2">
      <c r="A8" s="57">
        <v>5</v>
      </c>
      <c r="B8" s="57">
        <v>10</v>
      </c>
      <c r="C8" s="142">
        <f t="shared" si="4"/>
        <v>86.266751996351417</v>
      </c>
      <c r="D8">
        <f>SUMIFS(Tabelle1!$C$1:$C$1000,Tabelle1!$A$1:$A$1000,$A8+$S$4,Tabelle1!$B$1:$B$1000,D$1,Tabelle1!$D$1:$D$1000,$S$3)</f>
        <v>66.3733</v>
      </c>
      <c r="E8" s="142">
        <f t="shared" si="4"/>
        <v>185.00691878954149</v>
      </c>
      <c r="F8">
        <f>SUMIFS(Tabelle1!$C$1:$C$1000,Tabelle1!$A$1:$A$1000,$A8+$S$4,Tabelle1!$B$1:$B$1000,F$1,Tabelle1!$D$1:$D$1000,$S$3)</f>
        <v>98.466899999999995</v>
      </c>
      <c r="G8" s="142">
        <f t="shared" si="4"/>
        <v>12.628935030318273</v>
      </c>
      <c r="H8">
        <f>SUMIFS(Tabelle1!$C$1:$C$1000,Tabelle1!$A$1:$A$1000,$A8+$S$4,Tabelle1!$B$1:$B$1000,H$1,Tabelle1!$D$1:$D$1000,$S$3)</f>
        <v>28.874300000000002</v>
      </c>
      <c r="I8" s="142" t="str">
        <f t="shared" si="0"/>
        <v/>
      </c>
      <c r="J8" s="207"/>
      <c r="K8" s="142" t="str">
        <f t="shared" si="1"/>
        <v/>
      </c>
      <c r="L8" s="207"/>
      <c r="M8" s="142" t="str">
        <f t="shared" si="2"/>
        <v/>
      </c>
      <c r="N8"/>
      <c r="O8" s="142" t="str">
        <f t="shared" si="3"/>
        <v/>
      </c>
      <c r="P8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</row>
    <row r="9" spans="1:44" ht="12.75" x14ac:dyDescent="0.2">
      <c r="A9" s="57">
        <v>6</v>
      </c>
      <c r="B9" s="57">
        <v>15</v>
      </c>
      <c r="C9" s="142">
        <f t="shared" si="4"/>
        <v>81.26778266939489</v>
      </c>
      <c r="D9">
        <f>SUMIFS(Tabelle1!$C$1:$C$1000,Tabelle1!$A$1:$A$1000,$A9+$S$4,Tabelle1!$B$1:$B$1000,D$1,Tabelle1!$D$1:$D$1000,$S$3)</f>
        <v>63.715800000000002</v>
      </c>
      <c r="E9" s="142">
        <f t="shared" si="4"/>
        <v>180.00711097065027</v>
      </c>
      <c r="F9">
        <f>SUMIFS(Tabelle1!$C$1:$C$1000,Tabelle1!$A$1:$A$1000,$A9+$S$4,Tabelle1!$B$1:$B$1000,F$1,Tabelle1!$D$1:$D$1000,$S$3)</f>
        <v>97.035899999999998</v>
      </c>
      <c r="G9" s="142">
        <f t="shared" si="4"/>
        <v>17.592327873252021</v>
      </c>
      <c r="H9">
        <f>SUMIFS(Tabelle1!$C$1:$C$1000,Tabelle1!$A$1:$A$1000,$A9+$S$4,Tabelle1!$B$1:$B$1000,H$1,Tabelle1!$D$1:$D$1000,$S$3)</f>
        <v>32.715499999999999</v>
      </c>
      <c r="I9" s="142" t="str">
        <f t="shared" si="0"/>
        <v/>
      </c>
      <c r="J9" s="207"/>
      <c r="K9" s="142" t="str">
        <f t="shared" si="1"/>
        <v/>
      </c>
      <c r="L9" s="207"/>
      <c r="M9" s="142" t="str">
        <f t="shared" si="2"/>
        <v/>
      </c>
      <c r="N9"/>
      <c r="O9" s="142" t="str">
        <f t="shared" si="3"/>
        <v/>
      </c>
      <c r="P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</row>
    <row r="10" spans="1:44" ht="12.75" x14ac:dyDescent="0.2">
      <c r="A10" s="57">
        <v>7</v>
      </c>
      <c r="B10" s="57">
        <v>20</v>
      </c>
      <c r="C10" s="142">
        <f t="shared" si="4"/>
        <v>76.268948465283046</v>
      </c>
      <c r="D10">
        <f>SUMIFS(Tabelle1!$C$1:$C$1000,Tabelle1!$A$1:$A$1000,$A10+$S$4,Tabelle1!$B$1:$B$1000,D$1,Tabelle1!$D$1:$D$1000,$S$3)</f>
        <v>61.876100000000001</v>
      </c>
      <c r="E10" s="142">
        <f t="shared" si="4"/>
        <v>175.00731413286704</v>
      </c>
      <c r="F10">
        <f>SUMIFS(Tabelle1!$C$1:$C$1000,Tabelle1!$A$1:$A$1000,$A10+$S$4,Tabelle1!$B$1:$B$1000,F$1,Tabelle1!$D$1:$D$1000,$S$3)</f>
        <v>95.605000000000004</v>
      </c>
      <c r="G10" s="142">
        <f t="shared" si="4"/>
        <v>22.571885167172013</v>
      </c>
      <c r="H10">
        <f>SUMIFS(Tabelle1!$C$1:$C$1000,Tabelle1!$A$1:$A$1000,$A10+$S$4,Tabelle1!$B$1:$B$1000,H$1,Tabelle1!$D$1:$D$1000,$S$3)</f>
        <v>35.788400000000003</v>
      </c>
      <c r="I10" s="142" t="str">
        <f t="shared" si="0"/>
        <v/>
      </c>
      <c r="J10" s="207"/>
      <c r="K10" s="142" t="str">
        <f t="shared" si="1"/>
        <v/>
      </c>
      <c r="L10" s="207"/>
      <c r="M10" s="142" t="str">
        <f t="shared" si="2"/>
        <v/>
      </c>
      <c r="N10"/>
      <c r="O10" s="142" t="str">
        <f t="shared" si="3"/>
        <v/>
      </c>
      <c r="P10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</row>
    <row r="11" spans="1:44" ht="12.75" x14ac:dyDescent="0.2">
      <c r="A11" s="57">
        <v>8</v>
      </c>
      <c r="B11" s="57">
        <v>25</v>
      </c>
      <c r="C11" s="142">
        <f t="shared" si="4"/>
        <v>71.270277816211717</v>
      </c>
      <c r="D11">
        <f>SUMIFS(Tabelle1!$C$1:$C$1000,Tabelle1!$A$1:$A$1000,$A11+$S$4,Tabelle1!$B$1:$B$1000,D$1,Tabelle1!$D$1:$D$1000,$S$3)</f>
        <v>59.831899999999997</v>
      </c>
      <c r="E11" s="142">
        <f t="shared" si="4"/>
        <v>170.00752924503081</v>
      </c>
      <c r="F11">
        <f>SUMIFS(Tabelle1!$C$1:$C$1000,Tabelle1!$A$1:$A$1000,$A11+$S$4,Tabelle1!$B$1:$B$1000,F$1,Tabelle1!$D$1:$D$1000,$S$3)</f>
        <v>94.378500000000003</v>
      </c>
      <c r="G11" s="142">
        <f t="shared" si="4"/>
        <v>27.558846129691279</v>
      </c>
      <c r="H11">
        <f>SUMIFS(Tabelle1!$C$1:$C$1000,Tabelle1!$A$1:$A$1000,$A11+$S$4,Tabelle1!$B$1:$B$1000,H$1,Tabelle1!$D$1:$D$1000,$S$3)</f>
        <v>38.368000000000002</v>
      </c>
      <c r="I11" s="142" t="str">
        <f t="shared" si="0"/>
        <v/>
      </c>
      <c r="J11" s="207"/>
      <c r="K11" s="142" t="str">
        <f t="shared" si="1"/>
        <v/>
      </c>
      <c r="L11" s="207"/>
      <c r="M11" s="142" t="str">
        <f t="shared" si="2"/>
        <v/>
      </c>
      <c r="N11"/>
      <c r="O11" s="142" t="str">
        <f t="shared" si="3"/>
        <v/>
      </c>
      <c r="P11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</row>
    <row r="12" spans="1:44" ht="12.75" x14ac:dyDescent="0.2">
      <c r="A12" s="57">
        <v>9</v>
      </c>
      <c r="B12" s="57">
        <v>30</v>
      </c>
      <c r="C12" s="142">
        <f t="shared" si="4"/>
        <v>66.271807731493183</v>
      </c>
      <c r="D12">
        <f>SUMIFS(Tabelle1!$C$1:$C$1000,Tabelle1!$A$1:$A$1000,$A12+$S$4,Tabelle1!$B$1:$B$1000,D$1,Tabelle1!$D$1:$D$1000,$S$3)</f>
        <v>57.174500000000002</v>
      </c>
      <c r="E12" s="142">
        <f t="shared" si="4"/>
        <v>165.00775739340258</v>
      </c>
      <c r="F12">
        <f>SUMIFS(Tabelle1!$C$1:$C$1000,Tabelle1!$A$1:$A$1000,$A12+$S$4,Tabelle1!$B$1:$B$1000,F$1,Tabelle1!$D$1:$D$1000,$S$3)</f>
        <v>92.538700000000006</v>
      </c>
      <c r="G12" s="142">
        <f t="shared" si="4"/>
        <v>32.549807987144874</v>
      </c>
      <c r="H12">
        <f>SUMIFS(Tabelle1!$C$1:$C$1000,Tabelle1!$A$1:$A$1000,$A12+$S$4,Tabelle1!$B$1:$B$1000,H$1,Tabelle1!$D$1:$D$1000,$S$3)</f>
        <v>41.1661</v>
      </c>
      <c r="I12" s="142" t="str">
        <f t="shared" si="0"/>
        <v/>
      </c>
      <c r="J12" s="207"/>
      <c r="K12" s="142" t="str">
        <f t="shared" si="1"/>
        <v/>
      </c>
      <c r="L12" s="207"/>
      <c r="M12" s="142" t="str">
        <f t="shared" si="2"/>
        <v/>
      </c>
      <c r="N12"/>
      <c r="O12" s="142" t="str">
        <f t="shared" si="3"/>
        <v/>
      </c>
      <c r="P12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</row>
    <row r="13" spans="1:44" ht="12.75" x14ac:dyDescent="0.2">
      <c r="A13" s="57">
        <v>10</v>
      </c>
      <c r="B13" s="57">
        <v>35</v>
      </c>
      <c r="C13" s="142">
        <f t="shared" si="4"/>
        <v>61.273587295016441</v>
      </c>
      <c r="D13">
        <f>SUMIFS(Tabelle1!$C$1:$C$1000,Tabelle1!$A$1:$A$1000,$A13+$S$4,Tabelle1!$B$1:$B$1000,D$1,Tabelle1!$D$1:$D$1000,$S$3)</f>
        <v>54.517000000000003</v>
      </c>
      <c r="E13" s="142">
        <f t="shared" si="4"/>
        <v>160.00799980001</v>
      </c>
      <c r="F13">
        <f>SUMIFS(Tabelle1!$C$1:$C$1000,Tabelle1!$A$1:$A$1000,$A13+$S$4,Tabelle1!$B$1:$B$1000,F$1,Tabelle1!$D$1:$D$1000,$S$3)</f>
        <v>90.494600000000005</v>
      </c>
      <c r="G13" s="142">
        <f t="shared" si="4"/>
        <v>37.543175145424236</v>
      </c>
      <c r="H13">
        <f>SUMIFS(Tabelle1!$C$1:$C$1000,Tabelle1!$A$1:$A$1000,$A13+$S$4,Tabelle1!$B$1:$B$1000,H$1,Tabelle1!$D$1:$D$1000,$S$3)</f>
        <v>43.726799999999997</v>
      </c>
      <c r="I13" s="142" t="str">
        <f t="shared" si="0"/>
        <v/>
      </c>
      <c r="J13" s="207"/>
      <c r="K13" s="142" t="str">
        <f t="shared" si="1"/>
        <v/>
      </c>
      <c r="L13" s="207"/>
      <c r="M13" s="142" t="str">
        <f t="shared" si="2"/>
        <v/>
      </c>
      <c r="N13"/>
      <c r="O13" s="142" t="str">
        <f t="shared" si="3"/>
        <v/>
      </c>
      <c r="P13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</row>
    <row r="14" spans="1:44" ht="12.75" x14ac:dyDescent="0.2">
      <c r="A14" s="57">
        <v>11</v>
      </c>
      <c r="B14" s="57">
        <v>40</v>
      </c>
      <c r="C14" s="142">
        <f t="shared" si="4"/>
        <v>56.275683025619507</v>
      </c>
      <c r="D14">
        <f>SUMIFS(Tabelle1!$C$1:$C$1000,Tabelle1!$A$1:$A$1000,$A14+$S$4,Tabelle1!$B$1:$B$1000,D$1,Tabelle1!$D$1:$D$1000,$S$3)</f>
        <v>51.246400000000001</v>
      </c>
      <c r="E14" s="142">
        <f t="shared" si="4"/>
        <v>155.00825784454196</v>
      </c>
      <c r="F14">
        <f>SUMIFS(Tabelle1!$C$1:$C$1000,Tabelle1!$A$1:$A$1000,$A14+$S$4,Tabelle1!$B$1:$B$1000,F$1,Tabelle1!$D$1:$D$1000,$S$3)</f>
        <v>88.859200000000001</v>
      </c>
      <c r="G14" s="142">
        <f t="shared" si="4"/>
        <v>42.538100568784216</v>
      </c>
      <c r="H14">
        <f>SUMIFS(Tabelle1!$C$1:$C$1000,Tabelle1!$A$1:$A$1000,$A14+$S$4,Tabelle1!$B$1:$B$1000,H$1,Tabelle1!$D$1:$D$1000,$S$3)</f>
        <v>46.287599999999998</v>
      </c>
      <c r="I14" s="142" t="str">
        <f t="shared" si="0"/>
        <v/>
      </c>
      <c r="J14" s="207"/>
      <c r="K14" s="142" t="str">
        <f t="shared" si="1"/>
        <v/>
      </c>
      <c r="L14" s="207"/>
      <c r="M14" s="142" t="str">
        <f t="shared" si="2"/>
        <v/>
      </c>
      <c r="N14"/>
      <c r="O14" s="142" t="str">
        <f t="shared" si="3"/>
        <v/>
      </c>
      <c r="P14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</row>
    <row r="15" spans="1:44" ht="12.75" x14ac:dyDescent="0.2">
      <c r="A15" s="57">
        <v>12</v>
      </c>
      <c r="B15" s="57">
        <v>45</v>
      </c>
      <c r="C15" s="142">
        <f t="shared" si="4"/>
        <v>51.278187370459968</v>
      </c>
      <c r="D15">
        <f>SUMIFS(Tabelle1!$C$1:$C$1000,Tabelle1!$A$1:$A$1000,$A15+$S$4,Tabelle1!$B$1:$B$1000,D$1,Tabelle1!$D$1:$D$1000,$S$3)</f>
        <v>48.793399999999998</v>
      </c>
      <c r="E15" s="142">
        <f t="shared" si="4"/>
        <v>150.00853309062123</v>
      </c>
      <c r="F15">
        <f>SUMIFS(Tabelle1!$C$1:$C$1000,Tabelle1!$A$1:$A$1000,$A15+$S$4,Tabelle1!$B$1:$B$1000,F$1,Tabelle1!$D$1:$D$1000,$S$3)</f>
        <v>87.2239</v>
      </c>
      <c r="G15" s="142">
        <f t="shared" si="4"/>
        <v>47.534093028057235</v>
      </c>
      <c r="H15">
        <f>SUMIFS(Tabelle1!$C$1:$C$1000,Tabelle1!$A$1:$A$1000,$A15+$S$4,Tabelle1!$B$1:$B$1000,H$1,Tabelle1!$D$1:$D$1000,$S$3)</f>
        <v>49.104500000000002</v>
      </c>
      <c r="I15" s="142" t="str">
        <f t="shared" si="0"/>
        <v/>
      </c>
      <c r="J15" s="207"/>
      <c r="K15" s="142" t="str">
        <f t="shared" si="1"/>
        <v/>
      </c>
      <c r="L15" s="207"/>
      <c r="M15" s="142" t="str">
        <f t="shared" si="2"/>
        <v/>
      </c>
      <c r="N15"/>
      <c r="O15" s="142" t="str">
        <f t="shared" si="3"/>
        <v/>
      </c>
      <c r="P15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</row>
    <row r="16" spans="1:44" ht="12.75" x14ac:dyDescent="0.2">
      <c r="A16" s="57">
        <v>13</v>
      </c>
      <c r="B16" s="57">
        <v>50</v>
      </c>
      <c r="C16" s="142">
        <f t="shared" si="4"/>
        <v>46.281232697498453</v>
      </c>
      <c r="D16">
        <f>SUMIFS(Tabelle1!$C$1:$C$1000,Tabelle1!$A$1:$A$1000,$A16+$S$4,Tabelle1!$B$1:$B$1000,D$1,Tabelle1!$D$1:$D$1000,$S$3)</f>
        <v>46.135899999999999</v>
      </c>
      <c r="E16" s="142">
        <f t="shared" si="4"/>
        <v>145.00882731751196</v>
      </c>
      <c r="F16">
        <f>SUMIFS(Tabelle1!$C$1:$C$1000,Tabelle1!$A$1:$A$1000,$A16+$S$4,Tabelle1!$B$1:$B$1000,F$1,Tabelle1!$D$1:$D$1000,$S$3)</f>
        <v>85.588499999999996</v>
      </c>
      <c r="G16" s="142">
        <f t="shared" si="4"/>
        <v>52.530848079961544</v>
      </c>
      <c r="H16">
        <f>SUMIFS(Tabelle1!$C$1:$C$1000,Tabelle1!$A$1:$A$1000,$A16+$S$4,Tabelle1!$B$1:$B$1000,H$1,Tabelle1!$D$1:$D$1000,$S$3)</f>
        <v>51.921300000000002</v>
      </c>
      <c r="I16" s="142" t="str">
        <f t="shared" si="0"/>
        <v/>
      </c>
      <c r="J16" s="207"/>
      <c r="K16" s="142" t="str">
        <f t="shared" si="1"/>
        <v/>
      </c>
      <c r="L16" s="207"/>
      <c r="M16" s="142" t="str">
        <f t="shared" si="2"/>
        <v/>
      </c>
      <c r="N16"/>
      <c r="O16" s="142" t="str">
        <f t="shared" si="3"/>
        <v/>
      </c>
      <c r="P16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</row>
    <row r="17" spans="1:44" ht="12.75" x14ac:dyDescent="0.2">
      <c r="A17" s="57">
        <v>14</v>
      </c>
      <c r="B17" s="57">
        <v>55</v>
      </c>
      <c r="C17" s="142">
        <f t="shared" si="4"/>
        <v>41.285015441440734</v>
      </c>
      <c r="D17">
        <f>SUMIFS(Tabelle1!$C$1:$C$1000,Tabelle1!$A$1:$A$1000,$A17+$S$4,Tabelle1!$B$1:$B$1000,D$1,Tabelle1!$D$1:$D$1000,$S$3)</f>
        <v>43.682899999999997</v>
      </c>
      <c r="E17" s="142">
        <f t="shared" si="4"/>
        <v>140.00914255862008</v>
      </c>
      <c r="F17">
        <f>SUMIFS(Tabelle1!$C$1:$C$1000,Tabelle1!$A$1:$A$1000,$A17+$S$4,Tabelle1!$B$1:$B$1000,F$1,Tabelle1!$D$1:$D$1000,$S$3)</f>
        <v>84.770899999999997</v>
      </c>
      <c r="G17" s="142">
        <f t="shared" si="4"/>
        <v>57.528167014081021</v>
      </c>
      <c r="H17">
        <f>SUMIFS(Tabelle1!$C$1:$C$1000,Tabelle1!$A$1:$A$1000,$A17+$S$4,Tabelle1!$B$1:$B$1000,H$1,Tabelle1!$D$1:$D$1000,$S$3)</f>
        <v>54.354100000000003</v>
      </c>
      <c r="I17" s="142" t="str">
        <f t="shared" si="0"/>
        <v/>
      </c>
      <c r="J17" s="207"/>
      <c r="K17" s="142" t="str">
        <f t="shared" si="1"/>
        <v/>
      </c>
      <c r="L17" s="207"/>
      <c r="M17" s="142" t="str">
        <f t="shared" si="2"/>
        <v/>
      </c>
      <c r="N17"/>
      <c r="O17" s="142" t="str">
        <f t="shared" si="3"/>
        <v/>
      </c>
      <c r="P17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</row>
    <row r="18" spans="1:44" ht="12.75" x14ac:dyDescent="0.2">
      <c r="A18" s="57">
        <v>15</v>
      </c>
      <c r="B18" s="57">
        <v>60</v>
      </c>
      <c r="C18" s="142">
        <f t="shared" si="4"/>
        <v>36.289840176005185</v>
      </c>
      <c r="D18">
        <f>SUMIFS(Tabelle1!$C$1:$C$1000,Tabelle1!$A$1:$A$1000,$A18+$S$4,Tabelle1!$B$1:$B$1000,D$1,Tabelle1!$D$1:$D$1000,$S$3)</f>
        <v>41.102200000000003</v>
      </c>
      <c r="E18" s="142">
        <f t="shared" si="4"/>
        <v>135.00948114854751</v>
      </c>
      <c r="F18">
        <f>SUMIFS(Tabelle1!$C$1:$C$1000,Tabelle1!$A$1:$A$1000,$A18+$S$4,Tabelle1!$B$1:$B$1000,F$1,Tabelle1!$D$1:$D$1000,$S$3)</f>
        <v>83.34</v>
      </c>
      <c r="G18" s="142">
        <f t="shared" si="4"/>
        <v>62.525914627456672</v>
      </c>
      <c r="H18">
        <f>SUMIFS(Tabelle1!$C$1:$C$1000,Tabelle1!$A$1:$A$1000,$A18+$S$4,Tabelle1!$B$1:$B$1000,H$1,Tabelle1!$D$1:$D$1000,$S$3)</f>
        <v>57.583300000000001</v>
      </c>
      <c r="I18" s="142" t="str">
        <f t="shared" si="0"/>
        <v/>
      </c>
      <c r="J18" s="207"/>
      <c r="K18" s="142" t="str">
        <f t="shared" si="1"/>
        <v/>
      </c>
      <c r="L18" s="207"/>
      <c r="M18" s="142" t="str">
        <f t="shared" si="2"/>
        <v/>
      </c>
      <c r="N18"/>
      <c r="O18" s="142" t="str">
        <f t="shared" si="3"/>
        <v/>
      </c>
      <c r="P1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</row>
    <row r="19" spans="1:44" ht="12.75" x14ac:dyDescent="0.2">
      <c r="A19" s="57">
        <v>16</v>
      </c>
      <c r="B19" s="57">
        <v>65</v>
      </c>
      <c r="C19" s="142">
        <f t="shared" si="4"/>
        <v>31.296205840325118</v>
      </c>
      <c r="D19">
        <f>SUMIFS(Tabelle1!$C$1:$C$1000,Tabelle1!$A$1:$A$1000,$A19+$S$4,Tabelle1!$B$1:$B$1000,D$1,Tabelle1!$D$1:$D$1000,$S$3)</f>
        <v>38.076000000000001</v>
      </c>
      <c r="E19" s="142">
        <f t="shared" si="4"/>
        <v>130.0098457810023</v>
      </c>
      <c r="F19">
        <f>SUMIFS(Tabelle1!$C$1:$C$1000,Tabelle1!$A$1:$A$1000,$A19+$S$4,Tabelle1!$B$1:$B$1000,F$1,Tabelle1!$D$1:$D$1000,$S$3)</f>
        <v>81.500200000000007</v>
      </c>
      <c r="G19" s="142">
        <f t="shared" si="4"/>
        <v>67.523995734849692</v>
      </c>
      <c r="H19">
        <f>SUMIFS(Tabelle1!$C$1:$C$1000,Tabelle1!$A$1:$A$1000,$A19+$S$4,Tabelle1!$B$1:$B$1000,H$1,Tabelle1!$D$1:$D$1000,$S$3)</f>
        <v>60.036299999999997</v>
      </c>
      <c r="I19" s="142" t="str">
        <f t="shared" si="0"/>
        <v/>
      </c>
      <c r="J19" s="207"/>
      <c r="K19" s="142" t="str">
        <f t="shared" si="1"/>
        <v/>
      </c>
      <c r="L19" s="207"/>
      <c r="M19" s="142" t="str">
        <f t="shared" si="2"/>
        <v/>
      </c>
      <c r="N19"/>
      <c r="O19" s="142" t="str">
        <f t="shared" si="3"/>
        <v/>
      </c>
      <c r="P1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</row>
    <row r="20" spans="1:44" ht="12.75" x14ac:dyDescent="0.2">
      <c r="A20" s="57">
        <v>17</v>
      </c>
      <c r="B20" s="57">
        <v>70</v>
      </c>
      <c r="C20" s="142">
        <f t="shared" si="4"/>
        <v>26.304990020906679</v>
      </c>
      <c r="D20">
        <f>SUMIFS(Tabelle1!$C$1:$C$1000,Tabelle1!$A$1:$A$1000,$A20+$S$4,Tabelle1!$B$1:$B$1000,D$1,Tabelle1!$D$1:$D$1000,$S$3)</f>
        <v>35.0518</v>
      </c>
      <c r="E20" s="142">
        <f t="shared" si="4"/>
        <v>125.01023958060395</v>
      </c>
      <c r="F20">
        <f>SUMIFS(Tabelle1!$C$1:$C$1000,Tabelle1!$A$1:$A$1000,$A20+$S$4,Tabelle1!$B$1:$B$1000,F$1,Tabelle1!$D$1:$D$1000,$S$3)</f>
        <v>80.069299999999998</v>
      </c>
      <c r="G20" s="142">
        <f t="shared" si="4"/>
        <v>72.522341385258656</v>
      </c>
      <c r="H20">
        <f>SUMIFS(Tabelle1!$C$1:$C$1000,Tabelle1!$A$1:$A$1000,$A20+$S$4,Tabelle1!$B$1:$B$1000,H$1,Tabelle1!$D$1:$D$1000,$S$3)</f>
        <v>62.898200000000003</v>
      </c>
      <c r="I20" s="142" t="str">
        <f t="shared" si="0"/>
        <v/>
      </c>
      <c r="J20" s="207"/>
      <c r="K20" s="142" t="str">
        <f t="shared" si="1"/>
        <v/>
      </c>
      <c r="L20" s="207"/>
      <c r="M20" s="142" t="str">
        <f t="shared" si="2"/>
        <v/>
      </c>
      <c r="N20"/>
      <c r="O20" s="142" t="str">
        <f t="shared" si="3"/>
        <v/>
      </c>
      <c r="P20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</row>
    <row r="21" spans="1:44" ht="12.75" x14ac:dyDescent="0.2">
      <c r="A21" s="57">
        <v>18</v>
      </c>
      <c r="B21" s="57">
        <v>75</v>
      </c>
      <c r="C21" s="142">
        <f t="shared" si="4"/>
        <v>21.31789154677357</v>
      </c>
      <c r="D21">
        <f>SUMIFS(Tabelle1!$C$1:$C$1000,Tabelle1!$A$1:$A$1000,$A21+$S$4,Tabelle1!$B$1:$B$1000,D$1,Tabelle1!$D$1:$D$1000,$S$3)</f>
        <v>32.031100000000002</v>
      </c>
      <c r="E21" s="142">
        <f t="shared" si="4"/>
        <v>120.01066619263473</v>
      </c>
      <c r="F21">
        <f>SUMIFS(Tabelle1!$C$1:$C$1000,Tabelle1!$A$1:$A$1000,$A21+$S$4,Tabelle1!$B$1:$B$1000,F$1,Tabelle1!$D$1:$D$1000,$S$3)</f>
        <v>78.433899999999994</v>
      </c>
      <c r="G21" s="142">
        <f t="shared" si="4"/>
        <v>77.52090040756751</v>
      </c>
      <c r="H21">
        <f>SUMIFS(Tabelle1!$C$1:$C$1000,Tabelle1!$A$1:$A$1000,$A21+$S$4,Tabelle1!$B$1:$B$1000,H$1,Tabelle1!$D$1:$D$1000,$S$3)</f>
        <v>65.749600000000001</v>
      </c>
      <c r="I21" s="142" t="str">
        <f t="shared" si="0"/>
        <v/>
      </c>
      <c r="J21" s="207"/>
      <c r="K21" s="142" t="str">
        <f t="shared" si="1"/>
        <v/>
      </c>
      <c r="L21" s="207"/>
      <c r="M21" s="142" t="str">
        <f t="shared" si="2"/>
        <v/>
      </c>
      <c r="N21"/>
      <c r="O21" s="142" t="str">
        <f t="shared" si="3"/>
        <v/>
      </c>
      <c r="P21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</row>
    <row r="22" spans="1:44" ht="12.75" x14ac:dyDescent="0.2">
      <c r="A22" s="57">
        <v>19</v>
      </c>
      <c r="B22" s="57">
        <v>80</v>
      </c>
      <c r="C22" s="142">
        <f t="shared" si="4"/>
        <v>16.338681097322389</v>
      </c>
      <c r="D22">
        <f>SUMIFS(Tabelle1!$C$1:$C$1000,Tabelle1!$A$1:$A$1000,$A22+$S$4,Tabelle1!$B$1:$B$1000,D$1,Tabelle1!$D$1:$D$1000,$S$3)</f>
        <v>28.760400000000001</v>
      </c>
      <c r="E22" s="142">
        <f t="shared" si="4"/>
        <v>115.01112989619743</v>
      </c>
      <c r="F22">
        <f>SUMIFS(Tabelle1!$C$1:$C$1000,Tabelle1!$A$1:$A$1000,$A22+$S$4,Tabelle1!$B$1:$B$1000,F$1,Tabelle1!$D$1:$D$1000,$S$3)</f>
        <v>76.798599999999993</v>
      </c>
      <c r="G22" s="142">
        <f t="shared" si="4"/>
        <v>82.519634027302857</v>
      </c>
      <c r="H22">
        <f>SUMIFS(Tabelle1!$C$1:$C$1000,Tabelle1!$A$1:$A$1000,$A22+$S$4,Tabelle1!$B$1:$B$1000,H$1,Tabelle1!$D$1:$D$1000,$S$3)</f>
        <v>67.395399999999995</v>
      </c>
      <c r="I22" s="142" t="str">
        <f t="shared" si="0"/>
        <v/>
      </c>
      <c r="J22" s="207"/>
      <c r="K22" s="142" t="str">
        <f t="shared" si="1"/>
        <v/>
      </c>
      <c r="L22" s="207"/>
      <c r="M22" s="142" t="str">
        <f t="shared" si="2"/>
        <v/>
      </c>
      <c r="N22"/>
      <c r="O22" s="142" t="str">
        <f t="shared" si="3"/>
        <v/>
      </c>
      <c r="P22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</row>
    <row r="23" spans="1:44" ht="12.75" x14ac:dyDescent="0.2">
      <c r="A23" s="57">
        <v>20</v>
      </c>
      <c r="B23" s="57">
        <v>85</v>
      </c>
      <c r="C23" s="142">
        <f t="shared" si="4"/>
        <v>11.377719455145657</v>
      </c>
      <c r="D23">
        <f>SUMIFS(Tabelle1!$C$1:$C$1000,Tabelle1!$A$1:$A$1000,$A23+$S$4,Tabelle1!$B$1:$B$1000,D$1,Tabelle1!$D$1:$D$1000,$S$3)</f>
        <v>22.3718</v>
      </c>
      <c r="E23" s="142">
        <f t="shared" si="4"/>
        <v>110.01163574822438</v>
      </c>
      <c r="F23">
        <f>SUMIFS(Tabelle1!$C$1:$C$1000,Tabelle1!$A$1:$A$1000,$A23+$S$4,Tabelle1!$B$1:$B$1000,F$1,Tabelle1!$D$1:$D$1000,$S$3)</f>
        <v>75.572100000000006</v>
      </c>
      <c r="G23" s="142">
        <f t="shared" si="4"/>
        <v>87.51851232739277</v>
      </c>
      <c r="H23">
        <f>SUMIFS(Tabelle1!$C$1:$C$1000,Tabelle1!$A$1:$A$1000,$A23+$S$4,Tabelle1!$B$1:$B$1000,H$1,Tabelle1!$D$1:$D$1000,$S$3)</f>
        <v>69.030699999999996</v>
      </c>
      <c r="I23" s="142" t="str">
        <f t="shared" si="0"/>
        <v/>
      </c>
      <c r="J23" s="207"/>
      <c r="K23" s="142" t="str">
        <f t="shared" si="1"/>
        <v/>
      </c>
      <c r="L23" s="207"/>
      <c r="M23" s="142" t="str">
        <f t="shared" si="2"/>
        <v/>
      </c>
      <c r="N23"/>
      <c r="O23" s="142" t="str">
        <f t="shared" si="3"/>
        <v/>
      </c>
      <c r="P23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</row>
    <row r="24" spans="1:44" ht="12.75" x14ac:dyDescent="0.2">
      <c r="A24" s="57">
        <v>21</v>
      </c>
      <c r="B24" s="57">
        <v>87.5</v>
      </c>
      <c r="C24" s="142">
        <f t="shared" si="4"/>
        <v>8.9136131843377626</v>
      </c>
      <c r="D24">
        <f>SUMIFS(Tabelle1!$C$1:$C$1000,Tabelle1!$A$1:$A$1000,$A24+$S$4,Tabelle1!$B$1:$B$1000,D$1,Tabelle1!$D$1:$D$1000,$S$3)</f>
        <v>17.312999999999999</v>
      </c>
      <c r="E24" s="142">
        <f t="shared" si="4"/>
        <v>107.51190631739351</v>
      </c>
      <c r="F24">
        <f>SUMIFS(Tabelle1!$C$1:$C$1000,Tabelle1!$A$1:$A$1000,$A24+$S$4,Tabelle1!$B$1:$B$1000,F$1,Tabelle1!$D$1:$D$1000,$S$3)</f>
        <v>74.754400000000004</v>
      </c>
      <c r="G24" s="142">
        <f t="shared" si="4"/>
        <v>90.017998200359912</v>
      </c>
      <c r="H24">
        <f>SUMIFS(Tabelle1!$C$1:$C$1000,Tabelle1!$A$1:$A$1000,$A24+$S$4,Tabelle1!$B$1:$B$1000,H$1,Tabelle1!$D$1:$D$1000,$S$3)</f>
        <v>70.743099999999998</v>
      </c>
      <c r="I24" s="142" t="str">
        <f t="shared" si="0"/>
        <v/>
      </c>
      <c r="J24" s="207"/>
      <c r="K24" s="142" t="str">
        <f t="shared" si="1"/>
        <v/>
      </c>
      <c r="L24" s="207"/>
      <c r="M24" s="142" t="str">
        <f t="shared" si="2"/>
        <v/>
      </c>
      <c r="N24"/>
      <c r="O24" s="142" t="str">
        <f t="shared" si="3"/>
        <v/>
      </c>
      <c r="P24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</row>
    <row r="25" spans="1:44" ht="12.75" x14ac:dyDescent="0.2">
      <c r="A25" s="57">
        <v>22</v>
      </c>
      <c r="B25" s="57">
        <v>90</v>
      </c>
      <c r="C25" s="142">
        <f t="shared" si="4"/>
        <v>6.4770749571083401</v>
      </c>
      <c r="D25">
        <f>SUMIFS(Tabelle1!$C$1:$C$1000,Tabelle1!$A$1:$A$1000,$A25+$S$4,Tabelle1!$B$1:$B$1000,D$1,Tabelle1!$D$1:$D$1000,$S$3)</f>
        <v>13.2247</v>
      </c>
      <c r="E25" s="142">
        <f t="shared" si="4"/>
        <v>105.01218976861686</v>
      </c>
      <c r="F25">
        <f>SUMIFS(Tabelle1!$C$1:$C$1000,Tabelle1!$A$1:$A$1000,$A25+$S$4,Tabelle1!$B$1:$B$1000,F$1,Tabelle1!$D$1:$D$1000,$S$3)</f>
        <v>74.396600000000007</v>
      </c>
      <c r="G25" s="142">
        <f t="shared" si="4"/>
        <v>92.517511855864342</v>
      </c>
      <c r="H25">
        <f>SUMIFS(Tabelle1!$C$1:$C$1000,Tabelle1!$A$1:$A$1000,$A25+$S$4,Tabelle1!$B$1:$B$1000,H$1,Tabelle1!$D$1:$D$1000,$S$3)</f>
        <v>71.0749</v>
      </c>
      <c r="I25" s="142" t="str">
        <f t="shared" si="0"/>
        <v/>
      </c>
      <c r="J25" s="207"/>
      <c r="K25" s="142" t="str">
        <f t="shared" si="1"/>
        <v/>
      </c>
      <c r="L25" s="207"/>
      <c r="M25" s="142" t="str">
        <f t="shared" si="2"/>
        <v/>
      </c>
      <c r="N25"/>
      <c r="O25" s="142" t="str">
        <f t="shared" si="3"/>
        <v/>
      </c>
      <c r="P25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1:44" ht="12.75" x14ac:dyDescent="0.2">
      <c r="A26" s="57">
        <v>23</v>
      </c>
      <c r="B26" s="57">
        <v>92.5</v>
      </c>
      <c r="C26" s="142">
        <f t="shared" si="4"/>
        <v>4.1173413752080359</v>
      </c>
      <c r="D26">
        <f>SUMIFS(Tabelle1!$C$1:$C$1000,Tabelle1!$A$1:$A$1000,$A26+$S$4,Tabelle1!$B$1:$B$1000,D$1,Tabelle1!$D$1:$D$1000,$S$3)</f>
        <v>8.1142099999999999</v>
      </c>
      <c r="E26" s="142">
        <f t="shared" si="4"/>
        <v>102.51248704426207</v>
      </c>
      <c r="F26">
        <f>SUMIFS(Tabelle1!$C$1:$C$1000,Tabelle1!$A$1:$A$1000,$A26+$S$4,Tabelle1!$B$1:$B$1000,F$1,Tabelle1!$D$1:$D$1000,$S$3)</f>
        <v>73.502300000000005</v>
      </c>
      <c r="G26" s="142">
        <f t="shared" si="4"/>
        <v>95.017051101368111</v>
      </c>
      <c r="H26">
        <f>SUMIFS(Tabelle1!$C$1:$C$1000,Tabelle1!$A$1:$A$1000,$A26+$S$4,Tabelle1!$B$1:$B$1000,H$1,Tabelle1!$D$1:$D$1000,$S$3)</f>
        <v>70.999200000000002</v>
      </c>
      <c r="I26" s="142" t="str">
        <f t="shared" si="0"/>
        <v/>
      </c>
      <c r="J26" s="207"/>
      <c r="K26" s="142" t="str">
        <f t="shared" si="1"/>
        <v/>
      </c>
      <c r="L26" s="207"/>
      <c r="M26" s="142" t="str">
        <f t="shared" si="2"/>
        <v/>
      </c>
      <c r="N26"/>
      <c r="O26" s="142" t="str">
        <f t="shared" si="3"/>
        <v/>
      </c>
      <c r="P26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</row>
    <row r="27" spans="1:44" ht="12.75" x14ac:dyDescent="0.2">
      <c r="A27" s="57">
        <v>24</v>
      </c>
      <c r="B27" s="57">
        <v>95</v>
      </c>
      <c r="C27" s="142">
        <f t="shared" si="4"/>
        <v>2.110094784600919</v>
      </c>
      <c r="D27">
        <f>SUMIFS(Tabelle1!$C$1:$C$1000,Tabelle1!$A$1:$A$1000,$A27+$S$4,Tabelle1!$B$1:$B$1000,D$1,Tabelle1!$D$1:$D$1000,$S$3)</f>
        <v>3.20818</v>
      </c>
      <c r="E27" s="142">
        <f t="shared" si="4"/>
        <v>100.01279918090484</v>
      </c>
      <c r="F27">
        <f>SUMIFS(Tabelle1!$C$1:$C$1000,Tabelle1!$A$1:$A$1000,$A27+$S$4,Tabelle1!$B$1:$B$1000,F$1,Tabelle1!$D$1:$D$1000,$S$3)</f>
        <v>72.607900000000001</v>
      </c>
      <c r="G27" s="142">
        <f t="shared" si="4"/>
        <v>97.516613969107851</v>
      </c>
      <c r="H27">
        <f>SUMIFS(Tabelle1!$C$1:$C$1000,Tabelle1!$A$1:$A$1000,$A27+$S$4,Tabelle1!$B$1:$B$1000,H$1,Tabelle1!$D$1:$D$1000,$S$3)</f>
        <v>71.255200000000002</v>
      </c>
      <c r="I27" s="142" t="str">
        <f t="shared" si="0"/>
        <v/>
      </c>
      <c r="J27" s="207"/>
      <c r="K27" s="142" t="str">
        <f t="shared" si="1"/>
        <v/>
      </c>
      <c r="L27" s="207"/>
      <c r="M27" s="142" t="str">
        <f t="shared" si="2"/>
        <v/>
      </c>
      <c r="N27"/>
      <c r="O27" s="142" t="str">
        <f t="shared" si="3"/>
        <v/>
      </c>
      <c r="P27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</row>
    <row r="28" spans="1:44" ht="12.75" x14ac:dyDescent="0.2">
      <c r="A28" s="57">
        <v>25</v>
      </c>
      <c r="B28" s="57">
        <v>97.5</v>
      </c>
      <c r="C28" s="142">
        <f t="shared" si="4"/>
        <v>2.110094784600919</v>
      </c>
      <c r="D28">
        <f>SUMIFS(Tabelle1!$C$1:$C$1000,Tabelle1!$A$1:$A$1000,$A28+$S$4,Tabelle1!$B$1:$B$1000,D$1,Tabelle1!$D$1:$D$1000,$S$3)</f>
        <v>4.0258599999999998</v>
      </c>
      <c r="E28" s="142">
        <f t="shared" si="4"/>
        <v>97.513127321402223</v>
      </c>
      <c r="F28">
        <f>SUMIFS(Tabelle1!$C$1:$C$1000,Tabelle1!$A$1:$A$1000,$A28+$S$4,Tabelle1!$B$1:$B$1000,F$1,Tabelle1!$D$1:$D$1000,$S$3)</f>
        <v>71.7136</v>
      </c>
      <c r="G28" s="142">
        <f t="shared" si="4"/>
        <v>100.01619868801254</v>
      </c>
      <c r="H28">
        <f>SUMIFS(Tabelle1!$C$1:$C$1000,Tabelle1!$A$1:$A$1000,$A28+$S$4,Tabelle1!$B$1:$B$1000,H$1,Tabelle1!$D$1:$D$1000,$S$3)</f>
        <v>72.279499999999999</v>
      </c>
      <c r="I28" s="142" t="str">
        <f t="shared" si="0"/>
        <v/>
      </c>
      <c r="J28" s="207"/>
      <c r="K28" s="142" t="str">
        <f t="shared" si="1"/>
        <v/>
      </c>
      <c r="L28" s="207"/>
      <c r="M28" s="142" t="str">
        <f t="shared" si="2"/>
        <v/>
      </c>
      <c r="N28"/>
      <c r="O28" s="142" t="str">
        <f t="shared" si="3"/>
        <v/>
      </c>
      <c r="P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</row>
    <row r="29" spans="1:44" ht="12.75" x14ac:dyDescent="0.2">
      <c r="A29" s="57">
        <v>26</v>
      </c>
      <c r="B29" s="57">
        <v>100</v>
      </c>
      <c r="C29" s="142">
        <f t="shared" si="4"/>
        <v>4.1173413752080359</v>
      </c>
      <c r="D29">
        <f>SUMIFS(Tabelle1!$C$1:$C$1000,Tabelle1!$A$1:$A$1000,$A29+$S$4,Tabelle1!$B$1:$B$1000,D$1,Tabelle1!$D$1:$D$1000,$S$3)</f>
        <v>9.1363000000000003</v>
      </c>
      <c r="E29" s="142">
        <f t="shared" si="4"/>
        <v>95.013472728871449</v>
      </c>
      <c r="F29">
        <f>SUMIFS(Tabelle1!$C$1:$C$1000,Tabelle1!$A$1:$A$1000,$A29+$S$4,Tabelle1!$B$1:$B$1000,F$1,Tabelle1!$D$1:$D$1000,$S$3)</f>
        <v>70.819299999999998</v>
      </c>
      <c r="G29" s="142">
        <f t="shared" si="4"/>
        <v>102.51580365972848</v>
      </c>
      <c r="H29">
        <f>SUMIFS(Tabelle1!$C$1:$C$1000,Tabelle1!$A$1:$A$1000,$A29+$S$4,Tabelle1!$B$1:$B$1000,H$1,Tabelle1!$D$1:$D$1000,$S$3)</f>
        <v>73.431899999999999</v>
      </c>
      <c r="I29" s="142" t="str">
        <f t="shared" si="0"/>
        <v/>
      </c>
      <c r="J29" s="207"/>
      <c r="K29" s="142" t="str">
        <f t="shared" si="1"/>
        <v/>
      </c>
      <c r="L29" s="207"/>
      <c r="M29" s="142" t="str">
        <f t="shared" si="2"/>
        <v/>
      </c>
      <c r="N29"/>
      <c r="O29" s="142" t="str">
        <f t="shared" si="3"/>
        <v/>
      </c>
      <c r="P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</row>
    <row r="30" spans="1:44" ht="12.75" x14ac:dyDescent="0.2">
      <c r="A30" s="57">
        <v>27</v>
      </c>
      <c r="B30" s="57">
        <v>102.5</v>
      </c>
      <c r="C30" s="142">
        <f t="shared" si="4"/>
        <v>6.4770749571083401</v>
      </c>
      <c r="D30">
        <f>SUMIFS(Tabelle1!$C$1:$C$1000,Tabelle1!$A$1:$A$1000,$A30+$S$4,Tabelle1!$B$1:$B$1000,D$1,Tabelle1!$D$1:$D$1000,$S$3)</f>
        <v>13.837899999999999</v>
      </c>
      <c r="E30" s="142">
        <f t="shared" si="4"/>
        <v>92.513836802934506</v>
      </c>
      <c r="F30">
        <f>SUMIFS(Tabelle1!$C$1:$C$1000,Tabelle1!$A$1:$A$1000,$A30+$S$4,Tabelle1!$B$1:$B$1000,F$1,Tabelle1!$D$1:$D$1000,$S$3)</f>
        <v>70.461600000000004</v>
      </c>
      <c r="G30" s="142">
        <f t="shared" si="4"/>
        <v>105.01542743806741</v>
      </c>
      <c r="H30">
        <f>SUMIFS(Tabelle1!$C$1:$C$1000,Tabelle1!$A$1:$A$1000,$A30+$S$4,Tabelle1!$B$1:$B$1000,H$1,Tabelle1!$D$1:$D$1000,$S$3)</f>
        <v>74.456199999999995</v>
      </c>
      <c r="I30" s="142" t="str">
        <f t="shared" si="0"/>
        <v/>
      </c>
      <c r="J30" s="207"/>
      <c r="K30" s="142" t="str">
        <f t="shared" si="1"/>
        <v/>
      </c>
      <c r="L30" s="207"/>
      <c r="M30" s="142" t="str">
        <f t="shared" si="2"/>
        <v/>
      </c>
      <c r="N30"/>
      <c r="O30" s="142" t="str">
        <f t="shared" si="3"/>
        <v/>
      </c>
      <c r="P30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</row>
    <row r="31" spans="1:44" ht="12.75" x14ac:dyDescent="0.2">
      <c r="A31" s="57">
        <v>28</v>
      </c>
      <c r="B31" s="57">
        <v>105</v>
      </c>
      <c r="C31" s="142">
        <f t="shared" si="4"/>
        <v>8.9136131843377626</v>
      </c>
      <c r="D31">
        <f>SUMIFS(Tabelle1!$C$1:$C$1000,Tabelle1!$A$1:$A$1000,$A31+$S$4,Tabelle1!$B$1:$B$1000,D$1,Tabelle1!$D$1:$D$1000,$S$3)</f>
        <v>17.6784</v>
      </c>
      <c r="E31" s="142">
        <f t="shared" si="4"/>
        <v>90.014221098668628</v>
      </c>
      <c r="F31">
        <f>SUMIFS(Tabelle1!$C$1:$C$1000,Tabelle1!$A$1:$A$1000,$A31+$S$4,Tabelle1!$B$1:$B$1000,F$1,Tabelle1!$D$1:$D$1000,$S$3)</f>
        <v>69.644000000000005</v>
      </c>
      <c r="G31" s="142">
        <f t="shared" si="4"/>
        <v>107.51506871132065</v>
      </c>
      <c r="H31">
        <f>SUMIFS(Tabelle1!$C$1:$C$1000,Tabelle1!$A$1:$A$1000,$A31+$S$4,Tabelle1!$B$1:$B$1000,H$1,Tabelle1!$D$1:$D$1000,$S$3)</f>
        <v>75.352500000000006</v>
      </c>
      <c r="I31" s="142" t="str">
        <f t="shared" si="0"/>
        <v/>
      </c>
      <c r="J31" s="207"/>
      <c r="K31" s="142" t="str">
        <f t="shared" si="1"/>
        <v/>
      </c>
      <c r="L31" s="207"/>
      <c r="M31" s="142" t="str">
        <f t="shared" si="2"/>
        <v/>
      </c>
      <c r="N31"/>
      <c r="O31" s="142" t="str">
        <f t="shared" si="3"/>
        <v/>
      </c>
      <c r="P31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</row>
    <row r="32" spans="1:44" ht="12.75" x14ac:dyDescent="0.2">
      <c r="A32" s="57">
        <v>29</v>
      </c>
      <c r="B32" s="57">
        <v>107.5</v>
      </c>
      <c r="C32" s="142">
        <f t="shared" si="4"/>
        <v>11.377719455145657</v>
      </c>
      <c r="D32">
        <f>SUMIFS(Tabelle1!$C$1:$C$1000,Tabelle1!$A$1:$A$1000,$A32+$S$4,Tabelle1!$B$1:$B$1000,D$1,Tabelle1!$D$1:$D$1000,$S$3)</f>
        <v>22.219000000000001</v>
      </c>
      <c r="E32" s="142">
        <f t="shared" si="4"/>
        <v>87.514627348803813</v>
      </c>
      <c r="F32">
        <f>SUMIFS(Tabelle1!$C$1:$C$1000,Tabelle1!$A$1:$A$1000,$A32+$S$4,Tabelle1!$B$1:$B$1000,F$1,Tabelle1!$D$1:$D$1000,$S$3)</f>
        <v>68.621899999999997</v>
      </c>
      <c r="G32" s="142">
        <f t="shared" si="4"/>
        <v>110.01472628698396</v>
      </c>
      <c r="H32">
        <f>SUMIFS(Tabelle1!$C$1:$C$1000,Tabelle1!$A$1:$A$1000,$A32+$S$4,Tabelle1!$B$1:$B$1000,H$1,Tabelle1!$D$1:$D$1000,$S$3)</f>
        <v>75.736599999999996</v>
      </c>
      <c r="I32" s="142" t="str">
        <f t="shared" si="0"/>
        <v/>
      </c>
      <c r="J32" s="207"/>
      <c r="K32" s="142" t="str">
        <f t="shared" si="1"/>
        <v/>
      </c>
      <c r="L32" s="207"/>
      <c r="M32" s="142" t="str">
        <f t="shared" si="2"/>
        <v/>
      </c>
      <c r="N32"/>
      <c r="O32" s="142" t="str">
        <f t="shared" si="3"/>
        <v/>
      </c>
      <c r="P32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</row>
    <row r="33" spans="1:44" ht="12.75" x14ac:dyDescent="0.2">
      <c r="A33" s="57">
        <v>30</v>
      </c>
      <c r="B33" s="57">
        <v>112.5</v>
      </c>
      <c r="C33" s="142">
        <f t="shared" si="4"/>
        <v>16.338681097322389</v>
      </c>
      <c r="D33">
        <f>SUMIFS(Tabelle1!$C$1:$C$1000,Tabelle1!$A$1:$A$1000,$A33+$S$4,Tabelle1!$B$1:$B$1000,D$1,Tabelle1!$D$1:$D$1000,$S$3)</f>
        <v>29.782499999999999</v>
      </c>
      <c r="E33" s="142">
        <f t="shared" si="4"/>
        <v>82.515513692880816</v>
      </c>
      <c r="F33">
        <f>SUMIFS(Tabelle1!$C$1:$C$1000,Tabelle1!$A$1:$A$1000,$A33+$S$4,Tabelle1!$B$1:$B$1000,F$1,Tabelle1!$D$1:$D$1000,$S$3)</f>
        <v>66.3733</v>
      </c>
      <c r="G33" s="142">
        <f t="shared" si="4"/>
        <v>115.01408609383461</v>
      </c>
      <c r="H33">
        <f>SUMIFS(Tabelle1!$C$1:$C$1000,Tabelle1!$A$1:$A$1000,$A33+$S$4,Tabelle1!$B$1:$B$1000,H$1,Tabelle1!$D$1:$D$1000,$S$3)</f>
        <v>76.594200000000001</v>
      </c>
      <c r="I33" s="142" t="str">
        <f t="shared" si="0"/>
        <v/>
      </c>
      <c r="J33" s="207"/>
      <c r="K33" s="142" t="str">
        <f t="shared" si="1"/>
        <v/>
      </c>
      <c r="L33" s="207"/>
      <c r="M33" s="142" t="str">
        <f t="shared" si="2"/>
        <v/>
      </c>
      <c r="N33"/>
      <c r="O33" s="142" t="str">
        <f t="shared" si="3"/>
        <v/>
      </c>
      <c r="P33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</row>
    <row r="34" spans="1:44" ht="12.75" x14ac:dyDescent="0.2">
      <c r="A34" s="57">
        <v>31</v>
      </c>
      <c r="B34" s="57">
        <v>117.5</v>
      </c>
      <c r="C34" s="142">
        <f t="shared" si="4"/>
        <v>21.31789154677357</v>
      </c>
      <c r="D34">
        <f>SUMIFS(Tabelle1!$C$1:$C$1000,Tabelle1!$A$1:$A$1000,$A34+$S$4,Tabelle1!$B$1:$B$1000,D$1,Tabelle1!$D$1:$D$1000,$S$3)</f>
        <v>33.257599999999996</v>
      </c>
      <c r="E34" s="142">
        <f t="shared" si="4"/>
        <v>77.516514369519996</v>
      </c>
      <c r="F34">
        <f>SUMIFS(Tabelle1!$C$1:$C$1000,Tabelle1!$A$1:$A$1000,$A34+$S$4,Tabelle1!$B$1:$B$1000,F$1,Tabelle1!$D$1:$D$1000,$S$3)</f>
        <v>63.920299999999997</v>
      </c>
      <c r="G34" s="142">
        <f t="shared" si="4"/>
        <v>120.01349924071042</v>
      </c>
      <c r="H34">
        <f>SUMIFS(Tabelle1!$C$1:$C$1000,Tabelle1!$A$1:$A$1000,$A34+$S$4,Tabelle1!$B$1:$B$1000,H$1,Tabelle1!$D$1:$D$1000,$S$3)</f>
        <v>77.820700000000002</v>
      </c>
      <c r="I34" s="142" t="str">
        <f t="shared" si="0"/>
        <v/>
      </c>
      <c r="J34" s="207"/>
      <c r="K34" s="142" t="str">
        <f t="shared" si="1"/>
        <v/>
      </c>
      <c r="L34" s="207"/>
      <c r="M34" s="142" t="str">
        <f t="shared" si="2"/>
        <v/>
      </c>
      <c r="N34"/>
      <c r="O34" s="142" t="str">
        <f t="shared" si="3"/>
        <v/>
      </c>
      <c r="P34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</row>
    <row r="35" spans="1:44" ht="12.75" x14ac:dyDescent="0.2">
      <c r="A35" s="57">
        <v>32</v>
      </c>
      <c r="B35" s="57">
        <v>122.5</v>
      </c>
      <c r="C35" s="142">
        <f t="shared" si="4"/>
        <v>26.304990020906679</v>
      </c>
      <c r="D35">
        <f>SUMIFS(Tabelle1!$C$1:$C$1000,Tabelle1!$A$1:$A$1000,$A35+$S$4,Tabelle1!$B$1:$B$1000,D$1,Tabelle1!$D$1:$D$1000,$S$3)</f>
        <v>36.451900000000002</v>
      </c>
      <c r="E35" s="142">
        <f t="shared" si="4"/>
        <v>72.517653023246694</v>
      </c>
      <c r="F35">
        <f>SUMIFS(Tabelle1!$C$1:$C$1000,Tabelle1!$A$1:$A$1000,$A35+$S$4,Tabelle1!$B$1:$B$1000,F$1,Tabelle1!$D$1:$D$1000,$S$3)</f>
        <v>61.671700000000001</v>
      </c>
      <c r="G35" s="142">
        <f t="shared" si="4"/>
        <v>125.01295932822325</v>
      </c>
      <c r="H35">
        <f>SUMIFS(Tabelle1!$C$1:$C$1000,Tabelle1!$A$1:$A$1000,$A35+$S$4,Tabelle1!$B$1:$B$1000,H$1,Tabelle1!$D$1:$D$1000,$S$3)</f>
        <v>80.069299999999998</v>
      </c>
      <c r="I35" s="142" t="str">
        <f t="shared" si="0"/>
        <v/>
      </c>
      <c r="J35" s="207"/>
      <c r="K35" s="142" t="str">
        <f t="shared" si="1"/>
        <v/>
      </c>
      <c r="L35" s="207"/>
      <c r="M35" s="142" t="str">
        <f t="shared" si="2"/>
        <v/>
      </c>
      <c r="N35"/>
      <c r="O35" s="142" t="str">
        <f t="shared" si="3"/>
        <v/>
      </c>
      <c r="P35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</row>
    <row r="36" spans="1:44" ht="12.75" x14ac:dyDescent="0.2">
      <c r="A36" s="57">
        <v>33</v>
      </c>
      <c r="B36" s="57">
        <v>127.5</v>
      </c>
      <c r="C36" s="142">
        <f t="shared" si="4"/>
        <v>31.296205840325118</v>
      </c>
      <c r="D36">
        <f>SUMIFS(Tabelle1!$C$1:$C$1000,Tabelle1!$A$1:$A$1000,$A36+$S$4,Tabelle1!$B$1:$B$1000,D$1,Tabelle1!$D$1:$D$1000,$S$3)</f>
        <v>38.9863</v>
      </c>
      <c r="E36" s="142">
        <f t="shared" si="4"/>
        <v>67.518960300052015</v>
      </c>
      <c r="F36">
        <f>SUMIFS(Tabelle1!$C$1:$C$1000,Tabelle1!$A$1:$A$1000,$A36+$S$4,Tabelle1!$B$1:$B$1000,F$1,Tabelle1!$D$1:$D$1000,$S$3)</f>
        <v>58.605400000000003</v>
      </c>
      <c r="G36" s="142">
        <f t="shared" si="4"/>
        <v>130.0124609412498</v>
      </c>
      <c r="H36">
        <f>SUMIFS(Tabelle1!$C$1:$C$1000,Tabelle1!$A$1:$A$1000,$A36+$S$4,Tabelle1!$B$1:$B$1000,H$1,Tabelle1!$D$1:$D$1000,$S$3)</f>
        <v>81.500200000000007</v>
      </c>
      <c r="I36" s="142" t="str">
        <f t="shared" si="0"/>
        <v/>
      </c>
      <c r="J36" s="207"/>
      <c r="K36" s="142" t="str">
        <f t="shared" si="1"/>
        <v/>
      </c>
      <c r="L36" s="207"/>
      <c r="M36" s="142" t="str">
        <f t="shared" si="2"/>
        <v/>
      </c>
      <c r="N36"/>
      <c r="O36" s="142" t="str">
        <f t="shared" si="3"/>
        <v/>
      </c>
      <c r="P36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</row>
    <row r="37" spans="1:44" ht="12.75" x14ac:dyDescent="0.2">
      <c r="A37" s="57">
        <v>34</v>
      </c>
      <c r="B37" s="57">
        <v>132.5</v>
      </c>
      <c r="C37" s="142">
        <f t="shared" si="4"/>
        <v>36.289840176005185</v>
      </c>
      <c r="D37">
        <f>SUMIFS(Tabelle1!$C$1:$C$1000,Tabelle1!$A$1:$A$1000,$A37+$S$4,Tabelle1!$B$1:$B$1000,D$1,Tabelle1!$D$1:$D$1000,$S$3)</f>
        <v>40.957500000000003</v>
      </c>
      <c r="E37" s="142">
        <f t="shared" si="4"/>
        <v>62.520476645655862</v>
      </c>
      <c r="F37">
        <f>SUMIFS(Tabelle1!$C$1:$C$1000,Tabelle1!$A$1:$A$1000,$A37+$S$4,Tabelle1!$B$1:$B$1000,F$1,Tabelle1!$D$1:$D$1000,$S$3)</f>
        <v>55.538899999999998</v>
      </c>
      <c r="G37" s="142">
        <f t="shared" si="4"/>
        <v>135.01199946671409</v>
      </c>
      <c r="H37">
        <f>SUMIFS(Tabelle1!$C$1:$C$1000,Tabelle1!$A$1:$A$1000,$A37+$S$4,Tabelle1!$B$1:$B$1000,H$1,Tabelle1!$D$1:$D$1000,$S$3)</f>
        <v>83.34</v>
      </c>
      <c r="I37" s="142" t="str">
        <f t="shared" si="0"/>
        <v/>
      </c>
      <c r="J37" s="207"/>
      <c r="K37" s="142" t="str">
        <f t="shared" si="1"/>
        <v/>
      </c>
      <c r="L37" s="207"/>
      <c r="M37" s="142" t="str">
        <f t="shared" si="2"/>
        <v/>
      </c>
      <c r="N37"/>
      <c r="O37" s="142" t="str">
        <f t="shared" si="3"/>
        <v/>
      </c>
      <c r="P37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</row>
    <row r="38" spans="1:44" ht="12.75" x14ac:dyDescent="0.2">
      <c r="A38" s="57">
        <v>35</v>
      </c>
      <c r="B38" s="57">
        <v>137.5</v>
      </c>
      <c r="C38" s="142">
        <f t="shared" si="4"/>
        <v>41.285015441440734</v>
      </c>
      <c r="D38">
        <f>SUMIFS(Tabelle1!$C$1:$C$1000,Tabelle1!$A$1:$A$1000,$A38+$S$4,Tabelle1!$B$1:$B$1000,D$1,Tabelle1!$D$1:$D$1000,$S$3)</f>
        <v>43.585799999999999</v>
      </c>
      <c r="E38" s="142">
        <f t="shared" si="4"/>
        <v>57.522256562134281</v>
      </c>
      <c r="F38">
        <f>SUMIFS(Tabelle1!$C$1:$C$1000,Tabelle1!$A$1:$A$1000,$A38+$S$4,Tabelle1!$B$1:$B$1000,F$1,Tabelle1!$D$1:$D$1000,$S$3)</f>
        <v>53.290500000000002</v>
      </c>
      <c r="G38" s="142">
        <f t="shared" si="4"/>
        <v>140.01157095040395</v>
      </c>
      <c r="H38">
        <f>SUMIFS(Tabelle1!$C$1:$C$1000,Tabelle1!$A$1:$A$1000,$A38+$S$4,Tabelle1!$B$1:$B$1000,H$1,Tabelle1!$D$1:$D$1000,$S$3)</f>
        <v>85.179699999999997</v>
      </c>
      <c r="I38" s="142" t="str">
        <f t="shared" si="0"/>
        <v/>
      </c>
      <c r="J38" s="207"/>
      <c r="K38" s="142" t="str">
        <f t="shared" si="1"/>
        <v/>
      </c>
      <c r="L38" s="207"/>
      <c r="M38" s="142" t="str">
        <f t="shared" si="2"/>
        <v/>
      </c>
      <c r="N38"/>
      <c r="O38" s="142" t="str">
        <f t="shared" si="3"/>
        <v/>
      </c>
      <c r="P38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</row>
    <row r="39" spans="1:44" ht="12.75" x14ac:dyDescent="0.2">
      <c r="A39" s="57">
        <v>36</v>
      </c>
      <c r="B39" s="57">
        <v>142.5</v>
      </c>
      <c r="C39" s="142">
        <f t="shared" si="4"/>
        <v>46.281232697498453</v>
      </c>
      <c r="D39">
        <f>SUMIFS(Tabelle1!$C$1:$C$1000,Tabelle1!$A$1:$A$1000,$A39+$S$4,Tabelle1!$B$1:$B$1000,D$1,Tabelle1!$D$1:$D$1000,$S$3)</f>
        <v>46.120199999999997</v>
      </c>
      <c r="E39" s="142">
        <f t="shared" si="4"/>
        <v>52.524375293762418</v>
      </c>
      <c r="F39">
        <f>SUMIFS(Tabelle1!$C$1:$C$1000,Tabelle1!$A$1:$A$1000,$A39+$S$4,Tabelle1!$B$1:$B$1000,F$1,Tabelle1!$D$1:$D$1000,$S$3)</f>
        <v>50.428699999999999</v>
      </c>
      <c r="G39" s="142">
        <f t="shared" si="4"/>
        <v>145.01117198340273</v>
      </c>
      <c r="H39">
        <f>SUMIFS(Tabelle1!$C$1:$C$1000,Tabelle1!$A$1:$A$1000,$A39+$S$4,Tabelle1!$B$1:$B$1000,H$1,Tabelle1!$D$1:$D$1000,$S$3)</f>
        <v>87.6327</v>
      </c>
      <c r="I39" s="142" t="str">
        <f t="shared" si="0"/>
        <v/>
      </c>
      <c r="J39" s="207"/>
      <c r="K39" s="142" t="str">
        <f t="shared" si="1"/>
        <v/>
      </c>
      <c r="L39" s="207"/>
      <c r="M39" s="142" t="str">
        <f t="shared" si="2"/>
        <v/>
      </c>
      <c r="N39"/>
      <c r="O39" s="142" t="str">
        <f t="shared" si="3"/>
        <v/>
      </c>
      <c r="P3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</row>
    <row r="40" spans="1:44" ht="12.75" x14ac:dyDescent="0.2">
      <c r="A40" s="57">
        <v>37</v>
      </c>
      <c r="B40" s="57">
        <v>147.5</v>
      </c>
      <c r="C40" s="142">
        <f t="shared" si="4"/>
        <v>51.278187370459968</v>
      </c>
      <c r="D40">
        <f>SUMIFS(Tabelle1!$C$1:$C$1000,Tabelle1!$A$1:$A$1000,$A40+$S$4,Tabelle1!$B$1:$B$1000,D$1,Tabelle1!$D$1:$D$1000,$S$3)</f>
        <v>48.180100000000003</v>
      </c>
      <c r="E40" s="142">
        <f t="shared" si="4"/>
        <v>47.526939728957935</v>
      </c>
      <c r="F40">
        <f>SUMIFS(Tabelle1!$C$1:$C$1000,Tabelle1!$A$1:$A$1000,$A40+$S$4,Tabelle1!$B$1:$B$1000,F$1,Tabelle1!$D$1:$D$1000,$S$3)</f>
        <v>47.158000000000001</v>
      </c>
      <c r="G40" s="142">
        <f t="shared" si="4"/>
        <v>150.01079961122801</v>
      </c>
      <c r="H40">
        <f>SUMIFS(Tabelle1!$C$1:$C$1000,Tabelle1!$A$1:$A$1000,$A40+$S$4,Tabelle1!$B$1:$B$1000,H$1,Tabelle1!$D$1:$D$1000,$S$3)</f>
        <v>88.245999999999995</v>
      </c>
      <c r="I40" s="142" t="str">
        <f t="shared" si="0"/>
        <v/>
      </c>
      <c r="J40" s="207"/>
      <c r="K40" s="142" t="str">
        <f t="shared" si="1"/>
        <v/>
      </c>
      <c r="L40" s="207"/>
      <c r="M40" s="142" t="str">
        <f t="shared" si="2"/>
        <v/>
      </c>
      <c r="N40"/>
      <c r="O40" s="142" t="str">
        <f t="shared" si="3"/>
        <v/>
      </c>
      <c r="P40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</row>
    <row r="41" spans="1:44" ht="12.75" x14ac:dyDescent="0.2">
      <c r="A41" s="57">
        <v>38</v>
      </c>
      <c r="B41" s="57">
        <v>152.5</v>
      </c>
      <c r="C41" s="142">
        <f t="shared" si="4"/>
        <v>56.275683025619507</v>
      </c>
      <c r="D41">
        <f>SUMIFS(Tabelle1!$C$1:$C$1000,Tabelle1!$A$1:$A$1000,$A41+$S$4,Tabelle1!$B$1:$B$1000,D$1,Tabelle1!$D$1:$D$1000,$S$3)</f>
        <v>50.837400000000002</v>
      </c>
      <c r="E41" s="142">
        <f t="shared" si="4"/>
        <v>42.530106983171343</v>
      </c>
      <c r="F41">
        <f>SUMIFS(Tabelle1!$C$1:$C$1000,Tabelle1!$A$1:$A$1000,$A41+$S$4,Tabelle1!$B$1:$B$1000,F$1,Tabelle1!$D$1:$D$1000,$S$3)</f>
        <v>44.091299999999997</v>
      </c>
      <c r="G41" s="142">
        <f t="shared" si="4"/>
        <v>155.01045126055212</v>
      </c>
      <c r="H41">
        <f>SUMIFS(Tabelle1!$C$1:$C$1000,Tabelle1!$A$1:$A$1000,$A41+$S$4,Tabelle1!$B$1:$B$1000,H$1,Tabelle1!$D$1:$D$1000,$S$3)</f>
        <v>89.692899999999995</v>
      </c>
      <c r="I41" s="142" t="str">
        <f t="shared" si="0"/>
        <v/>
      </c>
      <c r="J41" s="207"/>
      <c r="K41" s="142" t="str">
        <f t="shared" si="1"/>
        <v/>
      </c>
      <c r="L41" s="207"/>
      <c r="M41" s="142" t="str">
        <f t="shared" si="2"/>
        <v/>
      </c>
      <c r="N41"/>
      <c r="O41" s="142" t="str">
        <f t="shared" si="3"/>
        <v/>
      </c>
      <c r="P41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</row>
    <row r="42" spans="1:44" ht="12.75" x14ac:dyDescent="0.2">
      <c r="A42" s="57">
        <v>39</v>
      </c>
      <c r="B42" s="57">
        <v>157.5</v>
      </c>
      <c r="C42" s="142">
        <f t="shared" si="4"/>
        <v>61.273587295016441</v>
      </c>
      <c r="D42">
        <f>SUMIFS(Tabelle1!$C$1:$C$1000,Tabelle1!$A$1:$A$1000,$A42+$S$4,Tabelle1!$B$1:$B$1000,D$1,Tabelle1!$D$1:$D$1000,$S$3)</f>
        <v>53.494999999999997</v>
      </c>
      <c r="E42" s="142">
        <f t="shared" si="4"/>
        <v>37.534117812997813</v>
      </c>
      <c r="F42">
        <f>SUMIFS(Tabelle1!$C$1:$C$1000,Tabelle1!$A$1:$A$1000,$A42+$S$4,Tabelle1!$B$1:$B$1000,F$1,Tabelle1!$D$1:$D$1000,$S$3)</f>
        <v>41.4343</v>
      </c>
      <c r="G42" s="142">
        <f t="shared" si="4"/>
        <v>160.01012467965896</v>
      </c>
      <c r="H42">
        <f>SUMIFS(Tabelle1!$C$1:$C$1000,Tabelle1!$A$1:$A$1000,$A42+$S$4,Tabelle1!$B$1:$B$1000,H$1,Tabelle1!$D$1:$D$1000,$S$3)</f>
        <v>91.357399999999998</v>
      </c>
      <c r="I42" s="142" t="str">
        <f t="shared" si="0"/>
        <v/>
      </c>
      <c r="J42" s="207"/>
      <c r="K42" s="142" t="str">
        <f t="shared" si="1"/>
        <v/>
      </c>
      <c r="L42" s="207"/>
      <c r="M42" s="142" t="str">
        <f t="shared" si="2"/>
        <v/>
      </c>
      <c r="N42"/>
      <c r="O42" s="142" t="str">
        <f t="shared" si="3"/>
        <v/>
      </c>
      <c r="P42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</row>
    <row r="43" spans="1:44" ht="12.75" x14ac:dyDescent="0.2">
      <c r="A43" s="57">
        <v>40</v>
      </c>
      <c r="B43" s="57">
        <v>162.5</v>
      </c>
      <c r="C43" s="142">
        <f t="shared" si="4"/>
        <v>66.271807731493183</v>
      </c>
      <c r="D43">
        <f>SUMIFS(Tabelle1!$C$1:$C$1000,Tabelle1!$A$1:$A$1000,$A43+$S$4,Tabelle1!$B$1:$B$1000,D$1,Tabelle1!$D$1:$D$1000,$S$3)</f>
        <v>56.445599999999999</v>
      </c>
      <c r="E43" s="142">
        <f t="shared" si="4"/>
        <v>32.539360780445577</v>
      </c>
      <c r="F43">
        <f>SUMIFS(Tabelle1!$C$1:$C$1000,Tabelle1!$A$1:$A$1000,$A43+$S$4,Tabelle1!$B$1:$B$1000,F$1,Tabelle1!$D$1:$D$1000,$S$3)</f>
        <v>38.368000000000002</v>
      </c>
      <c r="G43" s="142">
        <f t="shared" si="4"/>
        <v>165.00981788972436</v>
      </c>
      <c r="H43">
        <f>SUMIFS(Tabelle1!$C$1:$C$1000,Tabelle1!$A$1:$A$1000,$A43+$S$4,Tabelle1!$B$1:$B$1000,H$1,Tabelle1!$D$1:$D$1000,$S$3)</f>
        <v>92.129900000000006</v>
      </c>
      <c r="I43" s="142" t="str">
        <f t="shared" si="0"/>
        <v/>
      </c>
      <c r="J43" s="207"/>
      <c r="K43" s="142" t="str">
        <f t="shared" si="1"/>
        <v/>
      </c>
      <c r="L43" s="207"/>
      <c r="M43" s="142" t="str">
        <f t="shared" si="2"/>
        <v/>
      </c>
      <c r="N43"/>
      <c r="O43" s="142" t="str">
        <f t="shared" si="3"/>
        <v/>
      </c>
      <c r="P43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</row>
    <row r="44" spans="1:44" ht="12.75" x14ac:dyDescent="0.2">
      <c r="A44" s="57">
        <v>41</v>
      </c>
      <c r="B44" s="57">
        <v>167.5</v>
      </c>
      <c r="C44" s="142">
        <f t="shared" si="4"/>
        <v>71.270277816211717</v>
      </c>
      <c r="D44">
        <f>SUMIFS(Tabelle1!$C$1:$C$1000,Tabelle1!$A$1:$A$1000,$A44+$S$4,Tabelle1!$B$1:$B$1000,D$1,Tabelle1!$D$1:$D$1000,$S$3)</f>
        <v>60.200299999999999</v>
      </c>
      <c r="E44" s="142">
        <f t="shared" si="4"/>
        <v>27.546506130542216</v>
      </c>
      <c r="F44">
        <f>SUMIFS(Tabelle1!$C$1:$C$1000,Tabelle1!$A$1:$A$1000,$A44+$S$4,Tabelle1!$B$1:$B$1000,F$1,Tabelle1!$D$1:$D$1000,$S$3)</f>
        <v>36.119399999999999</v>
      </c>
      <c r="G44" s="142">
        <f t="shared" si="4"/>
        <v>170.00952914469235</v>
      </c>
      <c r="H44">
        <f>SUMIFS(Tabelle1!$C$1:$C$1000,Tabelle1!$A$1:$A$1000,$A44+$S$4,Tabelle1!$B$1:$B$1000,H$1,Tabelle1!$D$1:$D$1000,$S$3)</f>
        <v>93.424599999999998</v>
      </c>
      <c r="I44" s="142" t="str">
        <f t="shared" si="0"/>
        <v/>
      </c>
      <c r="J44" s="207"/>
      <c r="K44" s="142" t="str">
        <f t="shared" si="1"/>
        <v/>
      </c>
      <c r="L44" s="207"/>
      <c r="M44" s="142" t="str">
        <f t="shared" si="2"/>
        <v/>
      </c>
      <c r="N44"/>
      <c r="O44" s="142" t="str">
        <f t="shared" si="3"/>
        <v/>
      </c>
      <c r="P44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</row>
    <row r="45" spans="1:44" ht="12.75" x14ac:dyDescent="0.2">
      <c r="A45" s="57">
        <v>42</v>
      </c>
      <c r="B45" s="57">
        <v>172.5</v>
      </c>
      <c r="C45" s="142">
        <f t="shared" si="4"/>
        <v>76.268948465283046</v>
      </c>
      <c r="D45">
        <f>SUMIFS(Tabelle1!$C$1:$C$1000,Tabelle1!$A$1:$A$1000,$A45+$S$4,Tabelle1!$B$1:$B$1000,D$1,Tabelle1!$D$1:$D$1000,$S$3)</f>
        <v>62.734699999999997</v>
      </c>
      <c r="E45" s="142">
        <f t="shared" si="4"/>
        <v>22.556817151362466</v>
      </c>
      <c r="F45">
        <f>SUMIFS(Tabelle1!$C$1:$C$1000,Tabelle1!$A$1:$A$1000,$A45+$S$4,Tabelle1!$B$1:$B$1000,F$1,Tabelle1!$D$1:$D$1000,$S$3)</f>
        <v>33.870800000000003</v>
      </c>
      <c r="G45" s="142">
        <f t="shared" si="4"/>
        <v>175.00925689802813</v>
      </c>
      <c r="H45">
        <f>SUMIFS(Tabelle1!$C$1:$C$1000,Tabelle1!$A$1:$A$1000,$A45+$S$4,Tabelle1!$B$1:$B$1000,H$1,Tabelle1!$D$1:$D$1000,$S$3)</f>
        <v>94.174199999999999</v>
      </c>
      <c r="I45" s="142" t="str">
        <f t="shared" si="0"/>
        <v/>
      </c>
      <c r="J45" s="207"/>
      <c r="K45" s="142" t="str">
        <f t="shared" si="1"/>
        <v/>
      </c>
      <c r="L45" s="207"/>
      <c r="M45" s="142" t="str">
        <f t="shared" si="2"/>
        <v/>
      </c>
      <c r="N45"/>
      <c r="O45" s="142" t="str">
        <f t="shared" si="3"/>
        <v/>
      </c>
      <c r="P45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</row>
    <row r="46" spans="1:44" ht="12.75" x14ac:dyDescent="0.2">
      <c r="A46" s="57">
        <v>43</v>
      </c>
      <c r="B46" s="57">
        <v>177.5</v>
      </c>
      <c r="C46" s="142">
        <f t="shared" si="4"/>
        <v>81.26778266939489</v>
      </c>
      <c r="D46">
        <f>SUMIFS(Tabelle1!$C$1:$C$1000,Tabelle1!$A$1:$A$1000,$A46+$S$4,Tabelle1!$B$1:$B$1000,D$1,Tabelle1!$D$1:$D$1000,$S$3)</f>
        <v>66.113900000000001</v>
      </c>
      <c r="E46" s="142">
        <f t="shared" si="4"/>
        <v>17.572990639046047</v>
      </c>
      <c r="F46">
        <f>SUMIFS(Tabelle1!$C$1:$C$1000,Tabelle1!$A$1:$A$1000,$A46+$S$4,Tabelle1!$B$1:$B$1000,F$1,Tabelle1!$D$1:$D$1000,$S$3)</f>
        <v>31.009</v>
      </c>
      <c r="G46" s="142">
        <f t="shared" si="4"/>
        <v>180.00899977501126</v>
      </c>
      <c r="H46">
        <f>SUMIFS(Tabelle1!$C$1:$C$1000,Tabelle1!$A$1:$A$1000,$A46+$S$4,Tabelle1!$B$1:$B$1000,H$1,Tabelle1!$D$1:$D$1000,$S$3)</f>
        <v>95.838700000000003</v>
      </c>
      <c r="I46" s="142" t="str">
        <f t="shared" si="0"/>
        <v/>
      </c>
      <c r="J46" s="207"/>
      <c r="K46" s="142" t="str">
        <f t="shared" si="1"/>
        <v/>
      </c>
      <c r="L46" s="207"/>
      <c r="M46" s="142" t="str">
        <f t="shared" si="2"/>
        <v/>
      </c>
      <c r="N46"/>
      <c r="O46" s="142" t="str">
        <f t="shared" si="3"/>
        <v/>
      </c>
      <c r="P46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</row>
    <row r="47" spans="1:44" ht="12.75" x14ac:dyDescent="0.2">
      <c r="A47" s="57">
        <v>44</v>
      </c>
      <c r="B47" s="57">
        <v>182.5</v>
      </c>
      <c r="C47" s="142">
        <f t="shared" si="4"/>
        <v>86.266751996351417</v>
      </c>
      <c r="D47">
        <f>SUMIFS(Tabelle1!$C$1:$C$1000,Tabelle1!$A$1:$A$1000,$A47+$S$4,Tabelle1!$B$1:$B$1000,D$1,Tabelle1!$D$1:$D$1000,$S$3)</f>
        <v>67.334199999999996</v>
      </c>
      <c r="E47" s="142">
        <f t="shared" si="4"/>
        <v>12.601983970788092</v>
      </c>
      <c r="F47">
        <f>SUMIFS(Tabelle1!$C$1:$C$1000,Tabelle1!$A$1:$A$1000,$A47+$S$4,Tabelle1!$B$1:$B$1000,F$1,Tabelle1!$D$1:$D$1000,$S$3)</f>
        <v>24.058800000000002</v>
      </c>
      <c r="G47" s="142">
        <f t="shared" si="4"/>
        <v>185.00875654952119</v>
      </c>
      <c r="H47">
        <f>SUMIFS(Tabelle1!$C$1:$C$1000,Tabelle1!$A$1:$A$1000,$A47+$S$4,Tabelle1!$B$1:$B$1000,H$1,Tabelle1!$D$1:$D$1000,$S$3)</f>
        <v>96.863</v>
      </c>
      <c r="I47" s="142" t="str">
        <f t="shared" si="0"/>
        <v/>
      </c>
      <c r="J47" s="207"/>
      <c r="K47" s="142" t="str">
        <f t="shared" si="1"/>
        <v/>
      </c>
      <c r="L47" s="207"/>
      <c r="M47" s="142" t="str">
        <f t="shared" si="2"/>
        <v/>
      </c>
      <c r="N47"/>
      <c r="O47" s="142" t="str">
        <f t="shared" si="3"/>
        <v/>
      </c>
      <c r="P47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</row>
    <row r="48" spans="1:44" ht="12.75" x14ac:dyDescent="0.2">
      <c r="A48" s="57">
        <v>45</v>
      </c>
      <c r="B48" s="57">
        <v>185</v>
      </c>
      <c r="C48" s="142">
        <f t="shared" si="4"/>
        <v>88.766280196930637</v>
      </c>
      <c r="D48">
        <f>SUMIFS(Tabelle1!$C$1:$C$1000,Tabelle1!$A$1:$A$1000,$A48+$S$4,Tabelle1!$B$1:$B$1000,D$1,Tabelle1!$D$1:$D$1000,$S$3)</f>
        <v>68.460599999999999</v>
      </c>
      <c r="E48" s="142">
        <f t="shared" si="4"/>
        <v>10.127191120937731</v>
      </c>
      <c r="F48">
        <f>SUMIFS(Tabelle1!$C$1:$C$1000,Tabelle1!$A$1:$A$1000,$A48+$S$4,Tabelle1!$B$1:$B$1000,F$1,Tabelle1!$D$1:$D$1000,$S$3)</f>
        <v>19.561599999999999</v>
      </c>
      <c r="G48" s="142">
        <f t="shared" si="4"/>
        <v>187.50863980094357</v>
      </c>
      <c r="H48">
        <f>SUMIFS(Tabelle1!$C$1:$C$1000,Tabelle1!$A$1:$A$1000,$A48+$S$4,Tabelle1!$B$1:$B$1000,H$1,Tabelle1!$D$1:$D$1000,$S$3)</f>
        <v>97.631299999999996</v>
      </c>
      <c r="I48" s="142" t="str">
        <f t="shared" si="0"/>
        <v/>
      </c>
      <c r="J48" s="207"/>
      <c r="K48" s="142" t="str">
        <f t="shared" si="1"/>
        <v/>
      </c>
      <c r="L48" s="207"/>
      <c r="M48" s="142" t="str">
        <f t="shared" si="2"/>
        <v/>
      </c>
      <c r="N48"/>
      <c r="O48" s="142" t="str">
        <f t="shared" si="3"/>
        <v/>
      </c>
      <c r="P48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</row>
    <row r="49" spans="1:44" ht="12.75" x14ac:dyDescent="0.2">
      <c r="A49" s="57">
        <v>46</v>
      </c>
      <c r="B49" s="57">
        <v>187.5</v>
      </c>
      <c r="C49" s="142">
        <f t="shared" si="4"/>
        <v>91.265834242612385</v>
      </c>
      <c r="D49">
        <f>SUMIFS(Tabelle1!$C$1:$C$1000,Tabelle1!$A$1:$A$1000,$A49+$S$4,Tabelle1!$B$1:$B$1000,D$1,Tabelle1!$D$1:$D$1000,$S$3)</f>
        <v>69.305400000000006</v>
      </c>
      <c r="E49" s="142">
        <f t="shared" si="4"/>
        <v>7.6687678280151372</v>
      </c>
      <c r="F49">
        <f>SUMIFS(Tabelle1!$C$1:$C$1000,Tabelle1!$A$1:$A$1000,$A49+$S$4,Tabelle1!$B$1:$B$1000,F$1,Tabelle1!$D$1:$D$1000,$S$3)</f>
        <v>15.064399999999999</v>
      </c>
      <c r="G49" s="142">
        <f t="shared" si="4"/>
        <v>190.00852612448736</v>
      </c>
      <c r="H49">
        <f>SUMIFS(Tabelle1!$C$1:$C$1000,Tabelle1!$A$1:$A$1000,$A49+$S$4,Tabelle1!$B$1:$B$1000,H$1,Tabelle1!$D$1:$D$1000,$S$3)</f>
        <v>98.399500000000003</v>
      </c>
      <c r="I49" s="142" t="str">
        <f t="shared" si="0"/>
        <v/>
      </c>
      <c r="J49" s="207"/>
      <c r="K49" s="142" t="str">
        <f t="shared" si="1"/>
        <v/>
      </c>
      <c r="L49" s="207"/>
      <c r="M49" s="142" t="str">
        <f t="shared" si="2"/>
        <v/>
      </c>
      <c r="N49"/>
      <c r="O49" s="142" t="str">
        <f t="shared" si="3"/>
        <v/>
      </c>
      <c r="P4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</row>
    <row r="50" spans="1:44" ht="12.75" x14ac:dyDescent="0.2">
      <c r="A50" s="57">
        <v>47</v>
      </c>
      <c r="B50" s="57">
        <v>190</v>
      </c>
      <c r="C50" s="142">
        <f t="shared" si="4"/>
        <v>93.765412066497092</v>
      </c>
      <c r="D50">
        <f>SUMIFS(Tabelle1!$C$1:$C$1000,Tabelle1!$A$1:$A$1000,$A50+$S$4,Tabelle1!$B$1:$B$1000,D$1,Tabelle1!$D$1:$D$1000,$S$3)</f>
        <v>70.257199999999997</v>
      </c>
      <c r="E50" s="142">
        <f t="shared" si="4"/>
        <v>5.2497618993626753</v>
      </c>
      <c r="F50">
        <f>SUMIFS(Tabelle1!$C$1:$C$1000,Tabelle1!$A$1:$A$1000,$A50+$S$4,Tabelle1!$B$1:$B$1000,F$1,Tabelle1!$D$1:$D$1000,$S$3)</f>
        <v>10.771599999999999</v>
      </c>
      <c r="G50" s="142">
        <f t="shared" si="4"/>
        <v>192.50841540047023</v>
      </c>
      <c r="H50">
        <f>SUMIFS(Tabelle1!$C$1:$C$1000,Tabelle1!$A$1:$A$1000,$A50+$S$4,Tabelle1!$B$1:$B$1000,H$1,Tabelle1!$D$1:$D$1000,$S$3)</f>
        <v>98.911699999999996</v>
      </c>
      <c r="I50" s="142" t="str">
        <f t="shared" si="0"/>
        <v/>
      </c>
      <c r="J50" s="207"/>
      <c r="K50" s="142" t="str">
        <f t="shared" si="1"/>
        <v/>
      </c>
      <c r="L50" s="207"/>
      <c r="M50" s="142" t="str">
        <f t="shared" si="2"/>
        <v/>
      </c>
      <c r="N50"/>
      <c r="O50" s="142" t="str">
        <f t="shared" si="3"/>
        <v/>
      </c>
      <c r="P50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</row>
    <row r="51" spans="1:44" ht="12.75" x14ac:dyDescent="0.2">
      <c r="A51" s="57">
        <v>48</v>
      </c>
      <c r="B51" s="57">
        <v>192.5</v>
      </c>
      <c r="C51" s="142">
        <f t="shared" si="4"/>
        <v>96.26501181633958</v>
      </c>
      <c r="D51">
        <f>SUMIFS(Tabelle1!$C$1:$C$1000,Tabelle1!$A$1:$A$1000,$A51+$S$4,Tabelle1!$B$1:$B$1000,D$1,Tabelle1!$D$1:$D$1000,$S$3)</f>
        <v>70.6661</v>
      </c>
      <c r="E51" s="142">
        <f t="shared" si="4"/>
        <v>2.9681644159311662</v>
      </c>
      <c r="F51">
        <f>SUMIFS(Tabelle1!$C$1:$C$1000,Tabelle1!$A$1:$A$1000,$A51+$S$4,Tabelle1!$B$1:$B$1000,F$1,Tabelle1!$D$1:$D$1000,$S$3)</f>
        <v>5.4567800000000002</v>
      </c>
      <c r="G51" s="142">
        <f t="shared" si="4"/>
        <v>195.00830751534664</v>
      </c>
      <c r="H51">
        <f>SUMIFS(Tabelle1!$C$1:$C$1000,Tabelle1!$A$1:$A$1000,$A51+$S$4,Tabelle1!$B$1:$B$1000,H$1,Tabelle1!$D$1:$D$1000,$S$3)</f>
        <v>99.807900000000004</v>
      </c>
      <c r="I51" s="142" t="str">
        <f t="shared" si="0"/>
        <v/>
      </c>
      <c r="J51" s="207"/>
      <c r="K51" s="142" t="str">
        <f t="shared" si="1"/>
        <v/>
      </c>
      <c r="L51" s="207"/>
      <c r="M51" s="142" t="str">
        <f t="shared" si="2"/>
        <v/>
      </c>
      <c r="N51"/>
      <c r="O51" s="142" t="str">
        <f t="shared" si="3"/>
        <v/>
      </c>
      <c r="P51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</row>
    <row r="52" spans="1:44" ht="12.75" x14ac:dyDescent="0.2">
      <c r="A52" s="57"/>
      <c r="B52" s="57"/>
      <c r="C52" s="142"/>
      <c r="D52"/>
      <c r="E52" s="142"/>
      <c r="F52"/>
      <c r="G52" s="142"/>
      <c r="H52"/>
      <c r="I52" s="142" t="str">
        <f t="shared" si="0"/>
        <v/>
      </c>
      <c r="J52" s="207"/>
      <c r="K52" s="142" t="str">
        <f t="shared" si="1"/>
        <v/>
      </c>
      <c r="L52" s="207"/>
      <c r="M52" s="142" t="str">
        <f t="shared" si="2"/>
        <v/>
      </c>
      <c r="N52"/>
      <c r="O52" s="142" t="str">
        <f t="shared" si="3"/>
        <v/>
      </c>
      <c r="P52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</row>
    <row r="53" spans="1:44" ht="12.75" x14ac:dyDescent="0.2">
      <c r="A53" s="57"/>
      <c r="B53" s="57"/>
      <c r="C53" s="142"/>
      <c r="D53"/>
      <c r="E53" s="142"/>
      <c r="F53"/>
      <c r="G53" s="142"/>
      <c r="H53"/>
      <c r="I53" s="142" t="str">
        <f t="shared" si="0"/>
        <v/>
      </c>
      <c r="J53" s="207"/>
      <c r="K53" s="142" t="str">
        <f t="shared" si="1"/>
        <v/>
      </c>
      <c r="L53" s="207"/>
      <c r="M53" s="142" t="str">
        <f t="shared" si="2"/>
        <v/>
      </c>
      <c r="N53"/>
      <c r="O53" s="142" t="str">
        <f t="shared" si="3"/>
        <v/>
      </c>
      <c r="P53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</row>
    <row r="54" spans="1:44" ht="12.75" x14ac:dyDescent="0.2">
      <c r="A54" s="57"/>
      <c r="B54" s="57"/>
      <c r="C54" s="142"/>
      <c r="D54"/>
      <c r="E54" s="142"/>
      <c r="F54"/>
      <c r="G54" s="142"/>
      <c r="H54"/>
      <c r="I54" s="142" t="str">
        <f t="shared" si="0"/>
        <v/>
      </c>
      <c r="J54" s="207"/>
      <c r="K54" s="142" t="str">
        <f t="shared" si="1"/>
        <v/>
      </c>
      <c r="L54" s="207"/>
      <c r="M54" s="142" t="str">
        <f t="shared" si="2"/>
        <v/>
      </c>
      <c r="N54"/>
      <c r="O54" s="142" t="str">
        <f t="shared" si="3"/>
        <v/>
      </c>
      <c r="P54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</row>
    <row r="55" spans="1:44" ht="12.75" x14ac:dyDescent="0.2">
      <c r="A55" s="57"/>
      <c r="B55" s="57"/>
      <c r="C55" s="142"/>
      <c r="D55"/>
      <c r="E55" s="142"/>
      <c r="F55"/>
      <c r="G55" s="142"/>
      <c r="H55"/>
      <c r="I55" s="142" t="str">
        <f t="shared" si="0"/>
        <v/>
      </c>
      <c r="J55" s="207"/>
      <c r="K55" s="142" t="str">
        <f t="shared" si="1"/>
        <v/>
      </c>
      <c r="L55" s="207"/>
      <c r="M55" s="142" t="str">
        <f t="shared" si="2"/>
        <v/>
      </c>
      <c r="N55"/>
      <c r="O55" s="142" t="str">
        <f t="shared" si="3"/>
        <v/>
      </c>
      <c r="P55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</row>
    <row r="56" spans="1:44" ht="12.75" x14ac:dyDescent="0.2">
      <c r="A56" s="57"/>
      <c r="B56" s="57"/>
      <c r="C56" s="142"/>
      <c r="D56"/>
      <c r="E56" s="142"/>
      <c r="F56"/>
      <c r="G56" s="142"/>
      <c r="H56"/>
      <c r="I56" s="142" t="str">
        <f t="shared" si="0"/>
        <v/>
      </c>
      <c r="J56" s="207"/>
      <c r="K56" s="142" t="str">
        <f t="shared" si="1"/>
        <v/>
      </c>
      <c r="L56" s="207"/>
      <c r="M56" s="142" t="str">
        <f t="shared" si="2"/>
        <v/>
      </c>
      <c r="N56"/>
      <c r="O56" s="142" t="str">
        <f t="shared" si="3"/>
        <v/>
      </c>
      <c r="P56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</row>
    <row r="57" spans="1:44" ht="12.75" x14ac:dyDescent="0.2">
      <c r="A57" s="57"/>
      <c r="B57" s="57"/>
      <c r="C57" s="142"/>
      <c r="D57"/>
      <c r="E57" s="142"/>
      <c r="F57"/>
      <c r="G57" s="142"/>
      <c r="H57"/>
      <c r="I57" s="142" t="str">
        <f t="shared" si="0"/>
        <v/>
      </c>
      <c r="J57" s="207"/>
      <c r="K57" s="142" t="str">
        <f t="shared" si="1"/>
        <v/>
      </c>
      <c r="L57" s="207"/>
      <c r="M57" s="142" t="str">
        <f t="shared" si="2"/>
        <v/>
      </c>
      <c r="N57"/>
      <c r="O57" s="142" t="str">
        <f t="shared" si="3"/>
        <v/>
      </c>
      <c r="P57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</row>
    <row r="58" spans="1:44" x14ac:dyDescent="0.2">
      <c r="A58" s="26"/>
      <c r="B58" s="26"/>
      <c r="C58" s="26"/>
      <c r="D58" s="26"/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</row>
    <row r="59" spans="1:44" ht="12.75" thickBot="1" x14ac:dyDescent="0.25">
      <c r="A59" s="26"/>
      <c r="B59" s="68"/>
      <c r="C59" s="68"/>
      <c r="D59" s="68"/>
      <c r="E59" s="26"/>
      <c r="F59" s="27"/>
      <c r="G59" s="27"/>
      <c r="H59" s="27"/>
      <c r="I59" s="27"/>
      <c r="J59" s="27"/>
      <c r="K59" s="27"/>
      <c r="L59" s="27"/>
      <c r="M59" s="29"/>
      <c r="N59" s="28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</row>
    <row r="60" spans="1:44" ht="12.75" thickTop="1" x14ac:dyDescent="0.2">
      <c r="A60" s="68"/>
      <c r="B60" s="244" t="s">
        <v>30</v>
      </c>
      <c r="C60" s="245"/>
      <c r="D60" s="246"/>
      <c r="E60" s="26"/>
      <c r="F60" s="27"/>
      <c r="G60" s="27"/>
      <c r="H60" s="27"/>
      <c r="I60" s="27"/>
      <c r="J60" s="27"/>
      <c r="K60" s="27"/>
      <c r="L60" s="27"/>
      <c r="M60" s="29"/>
      <c r="N60" s="28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</row>
    <row r="61" spans="1:44" x14ac:dyDescent="0.2">
      <c r="A61" s="68"/>
      <c r="B61" s="247"/>
      <c r="C61" s="248"/>
      <c r="D61" s="249"/>
      <c r="E61" s="26"/>
      <c r="F61" s="27"/>
      <c r="G61" s="27"/>
      <c r="H61" s="27"/>
      <c r="I61" s="27"/>
      <c r="J61" s="27"/>
      <c r="K61" s="27"/>
      <c r="L61" s="27"/>
      <c r="M61" s="29"/>
      <c r="N61" s="28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</row>
    <row r="62" spans="1:44" ht="12.75" thickBot="1" x14ac:dyDescent="0.25">
      <c r="A62" s="68"/>
      <c r="B62" s="250"/>
      <c r="C62" s="251"/>
      <c r="D62" s="252"/>
      <c r="E62" s="26"/>
      <c r="F62" s="27"/>
      <c r="G62" s="27"/>
      <c r="H62" s="27"/>
      <c r="I62" s="27"/>
      <c r="J62" s="27"/>
      <c r="K62" s="27"/>
      <c r="L62" s="27"/>
      <c r="M62" s="29"/>
      <c r="N62" s="28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</row>
    <row r="63" spans="1:44" ht="12.75" thickTop="1" x14ac:dyDescent="0.2">
      <c r="A63" s="26"/>
      <c r="B63" s="26"/>
      <c r="C63" s="26"/>
      <c r="D63" s="26"/>
      <c r="E63" s="26"/>
      <c r="F63" s="27"/>
      <c r="G63" s="27"/>
      <c r="H63" s="27"/>
      <c r="I63" s="27"/>
      <c r="J63" s="27"/>
      <c r="K63" s="27"/>
      <c r="L63" s="27"/>
      <c r="M63" s="29"/>
      <c r="N63" s="28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</row>
    <row r="64" spans="1:44" x14ac:dyDescent="0.2">
      <c r="A64" s="26"/>
      <c r="B64" s="26"/>
      <c r="C64" s="26"/>
      <c r="D64" s="26"/>
      <c r="E64" s="26"/>
      <c r="F64" s="27"/>
      <c r="G64" s="27"/>
      <c r="H64" s="27"/>
      <c r="I64" s="27"/>
      <c r="J64" s="27"/>
      <c r="K64" s="27"/>
      <c r="L64" s="27"/>
      <c r="M64" s="29"/>
      <c r="N64" s="28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</row>
    <row r="65" spans="1:44" x14ac:dyDescent="0.2">
      <c r="A65" s="26"/>
      <c r="B65" s="26"/>
      <c r="C65" s="26"/>
      <c r="D65" s="26"/>
      <c r="E65" s="26"/>
      <c r="F65" s="27"/>
      <c r="G65" s="27"/>
      <c r="H65" s="27"/>
      <c r="I65" s="27"/>
      <c r="J65" s="27"/>
      <c r="K65" s="27"/>
      <c r="L65" s="27"/>
      <c r="M65" s="29"/>
      <c r="N65" s="28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</row>
    <row r="66" spans="1:44" x14ac:dyDescent="0.2">
      <c r="A66" s="26"/>
      <c r="B66" s="26"/>
      <c r="C66" s="26"/>
      <c r="D66" s="26"/>
      <c r="E66" s="26"/>
      <c r="F66" s="27"/>
      <c r="G66" s="27"/>
      <c r="H66" s="27"/>
      <c r="I66" s="27"/>
      <c r="J66" s="27"/>
      <c r="K66" s="27"/>
      <c r="L66" s="27"/>
      <c r="M66" s="29"/>
      <c r="N66" s="28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</row>
    <row r="67" spans="1:44" x14ac:dyDescent="0.2">
      <c r="A67" s="26"/>
      <c r="B67" s="26"/>
      <c r="C67" s="26"/>
      <c r="D67" s="26"/>
      <c r="E67" s="26"/>
      <c r="F67" s="27"/>
      <c r="G67" s="27"/>
      <c r="H67" s="27"/>
      <c r="I67" s="27"/>
      <c r="J67" s="27"/>
      <c r="K67" s="27"/>
      <c r="L67" s="27"/>
      <c r="M67" s="29"/>
      <c r="N67" s="28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</row>
    <row r="68" spans="1:44" x14ac:dyDescent="0.2">
      <c r="A68" s="26"/>
      <c r="B68" s="26"/>
      <c r="C68" s="26"/>
      <c r="D68" s="26"/>
      <c r="E68" s="26"/>
      <c r="F68" s="27"/>
      <c r="G68" s="27"/>
      <c r="H68" s="27"/>
      <c r="I68" s="27"/>
      <c r="J68" s="27"/>
      <c r="K68" s="27"/>
      <c r="L68" s="27"/>
      <c r="M68" s="29"/>
      <c r="N68" s="28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</row>
    <row r="69" spans="1:44" x14ac:dyDescent="0.2">
      <c r="A69" s="26"/>
      <c r="B69" s="26"/>
      <c r="C69" s="26"/>
      <c r="D69" s="26"/>
      <c r="E69" s="26"/>
      <c r="F69" s="27"/>
      <c r="G69" s="27"/>
      <c r="H69" s="27"/>
      <c r="I69" s="27"/>
      <c r="J69" s="27"/>
      <c r="K69" s="27"/>
      <c r="L69" s="27"/>
      <c r="M69" s="29"/>
      <c r="N69" s="28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</row>
    <row r="70" spans="1:44" x14ac:dyDescent="0.2">
      <c r="A70" s="26"/>
      <c r="B70" s="26"/>
      <c r="C70" s="26"/>
      <c r="D70" s="26"/>
      <c r="E70" s="26"/>
      <c r="F70" s="27"/>
      <c r="G70" s="27"/>
      <c r="H70" s="27"/>
      <c r="I70" s="27"/>
      <c r="J70" s="27"/>
      <c r="K70" s="27"/>
      <c r="L70" s="27"/>
      <c r="M70" s="29"/>
      <c r="N70" s="28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</row>
    <row r="71" spans="1:44" x14ac:dyDescent="0.2">
      <c r="A71" s="26"/>
      <c r="B71" s="26"/>
      <c r="C71" s="26"/>
      <c r="D71" s="26"/>
      <c r="E71" s="26"/>
      <c r="F71" s="27"/>
      <c r="G71" s="27"/>
      <c r="H71" s="27"/>
      <c r="I71" s="27"/>
      <c r="J71" s="27"/>
      <c r="K71" s="27"/>
      <c r="L71" s="27"/>
      <c r="M71" s="29"/>
      <c r="N71" s="28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</row>
    <row r="72" spans="1:44" x14ac:dyDescent="0.2">
      <c r="A72" s="26"/>
      <c r="B72" s="26"/>
      <c r="C72" s="26"/>
      <c r="D72" s="26"/>
      <c r="E72" s="26"/>
      <c r="F72" s="27"/>
      <c r="G72" s="27"/>
      <c r="H72" s="27"/>
      <c r="I72" s="27"/>
      <c r="J72" s="27"/>
      <c r="K72" s="27"/>
      <c r="L72" s="27"/>
      <c r="M72" s="29"/>
      <c r="N72" s="28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</row>
    <row r="73" spans="1:44" x14ac:dyDescent="0.2">
      <c r="A73" s="26"/>
      <c r="B73" s="26"/>
      <c r="C73" s="26"/>
      <c r="D73" s="26"/>
      <c r="E73" s="26"/>
      <c r="F73" s="27"/>
      <c r="G73" s="27"/>
      <c r="H73" s="27"/>
      <c r="I73" s="27"/>
      <c r="J73" s="27"/>
      <c r="K73" s="27"/>
      <c r="L73" s="27"/>
      <c r="M73" s="29"/>
      <c r="N73" s="28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</row>
    <row r="74" spans="1:44" x14ac:dyDescent="0.2">
      <c r="A74" s="26"/>
      <c r="B74" s="26"/>
      <c r="C74" s="26"/>
      <c r="D74" s="26"/>
      <c r="E74" s="26"/>
      <c r="F74" s="27"/>
      <c r="G74" s="27"/>
      <c r="H74" s="27"/>
      <c r="I74" s="27"/>
      <c r="J74" s="27"/>
      <c r="K74" s="27"/>
      <c r="L74" s="27"/>
      <c r="M74" s="29"/>
      <c r="N74" s="28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</row>
    <row r="75" spans="1:44" x14ac:dyDescent="0.2">
      <c r="A75" s="26"/>
      <c r="B75" s="26"/>
      <c r="C75" s="26"/>
      <c r="D75" s="26"/>
      <c r="E75" s="26"/>
      <c r="F75" s="27"/>
      <c r="G75" s="27"/>
      <c r="H75" s="27"/>
      <c r="I75" s="27"/>
      <c r="J75" s="27"/>
      <c r="K75" s="27"/>
      <c r="L75" s="27"/>
      <c r="M75" s="29"/>
      <c r="N75" s="28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</row>
    <row r="76" spans="1:44" x14ac:dyDescent="0.2">
      <c r="A76" s="26"/>
      <c r="B76" s="26"/>
      <c r="C76" s="26"/>
      <c r="D76" s="26"/>
      <c r="E76" s="26"/>
      <c r="F76" s="27"/>
      <c r="G76" s="27"/>
      <c r="H76" s="27"/>
      <c r="I76" s="27"/>
      <c r="J76" s="27"/>
      <c r="K76" s="27"/>
      <c r="L76" s="27"/>
      <c r="M76" s="29"/>
      <c r="N76" s="28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</row>
    <row r="77" spans="1:44" x14ac:dyDescent="0.2">
      <c r="A77" s="26"/>
      <c r="B77" s="26"/>
      <c r="C77" s="26"/>
      <c r="D77" s="26"/>
      <c r="E77" s="26"/>
      <c r="F77" s="27"/>
      <c r="G77" s="27"/>
      <c r="H77" s="27"/>
      <c r="I77" s="27"/>
      <c r="J77" s="27"/>
      <c r="K77" s="27"/>
      <c r="L77" s="27"/>
      <c r="M77" s="29"/>
      <c r="N77" s="28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</row>
    <row r="78" spans="1:44" x14ac:dyDescent="0.2">
      <c r="A78" s="26"/>
      <c r="B78" s="26"/>
      <c r="C78" s="26"/>
      <c r="D78" s="26"/>
      <c r="E78" s="26"/>
      <c r="F78" s="27"/>
      <c r="G78" s="27"/>
      <c r="H78" s="27"/>
      <c r="I78" s="27"/>
      <c r="J78" s="27"/>
      <c r="K78" s="27"/>
      <c r="L78" s="27"/>
      <c r="M78" s="29"/>
      <c r="N78" s="28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</row>
    <row r="79" spans="1:44" x14ac:dyDescent="0.2">
      <c r="A79" s="26"/>
      <c r="B79" s="26"/>
      <c r="C79" s="26"/>
      <c r="D79" s="26"/>
      <c r="E79" s="26"/>
      <c r="F79" s="27"/>
      <c r="G79" s="27"/>
      <c r="H79" s="27"/>
      <c r="I79" s="27"/>
      <c r="J79" s="27"/>
      <c r="K79" s="27"/>
      <c r="L79" s="27"/>
      <c r="M79" s="29"/>
      <c r="N79" s="28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</row>
    <row r="80" spans="1:44" x14ac:dyDescent="0.2">
      <c r="A80" s="26"/>
      <c r="B80" s="26"/>
      <c r="C80" s="26"/>
      <c r="D80" s="26"/>
      <c r="E80" s="26"/>
      <c r="F80" s="27"/>
      <c r="G80" s="27"/>
      <c r="H80" s="27"/>
      <c r="I80" s="27"/>
      <c r="J80" s="27"/>
      <c r="K80" s="27"/>
      <c r="L80" s="27"/>
      <c r="M80" s="29"/>
      <c r="N80" s="28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</row>
    <row r="81" spans="1:44" x14ac:dyDescent="0.2">
      <c r="A81" s="26"/>
      <c r="B81" s="26"/>
      <c r="C81" s="26"/>
      <c r="D81" s="26"/>
      <c r="E81" s="26"/>
      <c r="F81" s="27"/>
      <c r="G81" s="27"/>
      <c r="H81" s="27"/>
      <c r="I81" s="27"/>
      <c r="J81" s="27"/>
      <c r="K81" s="27"/>
      <c r="L81" s="27"/>
      <c r="M81" s="29"/>
      <c r="N81" s="28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</row>
    <row r="82" spans="1:44" x14ac:dyDescent="0.2">
      <c r="A82" s="26"/>
      <c r="B82" s="26"/>
      <c r="C82" s="26"/>
      <c r="D82" s="26"/>
      <c r="E82" s="26"/>
      <c r="F82" s="27"/>
      <c r="G82" s="27"/>
      <c r="H82" s="27"/>
      <c r="I82" s="27"/>
      <c r="J82" s="27"/>
      <c r="K82" s="27"/>
      <c r="L82" s="27"/>
      <c r="M82" s="29"/>
      <c r="N82" s="28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</row>
    <row r="83" spans="1:44" x14ac:dyDescent="0.2">
      <c r="A83" s="26"/>
      <c r="B83" s="26"/>
      <c r="C83" s="26"/>
      <c r="D83" s="26"/>
      <c r="E83" s="26"/>
      <c r="F83" s="27"/>
      <c r="G83" s="27"/>
      <c r="H83" s="27"/>
      <c r="I83" s="27"/>
      <c r="J83" s="27"/>
      <c r="K83" s="27"/>
      <c r="L83" s="27"/>
      <c r="M83" s="29"/>
      <c r="N83" s="28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</row>
    <row r="84" spans="1:44" x14ac:dyDescent="0.2">
      <c r="A84" s="26"/>
      <c r="B84" s="26"/>
      <c r="C84" s="26"/>
      <c r="D84" s="26"/>
      <c r="E84" s="26"/>
      <c r="F84" s="27"/>
      <c r="G84" s="27"/>
      <c r="H84" s="27"/>
      <c r="I84" s="27"/>
      <c r="J84" s="27"/>
      <c r="K84" s="27"/>
      <c r="L84" s="27"/>
      <c r="M84" s="29"/>
      <c r="N84" s="28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</row>
    <row r="85" spans="1:44" x14ac:dyDescent="0.2">
      <c r="A85" s="26"/>
      <c r="B85" s="26"/>
      <c r="C85" s="26"/>
      <c r="D85" s="26"/>
      <c r="E85" s="26"/>
      <c r="F85" s="27"/>
      <c r="G85" s="27"/>
      <c r="H85" s="27"/>
      <c r="I85" s="27"/>
      <c r="J85" s="27"/>
      <c r="K85" s="27"/>
      <c r="L85" s="27"/>
      <c r="M85" s="29"/>
      <c r="N85" s="28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</row>
    <row r="86" spans="1:44" x14ac:dyDescent="0.2">
      <c r="A86" s="26"/>
      <c r="B86" s="26"/>
      <c r="C86" s="26"/>
      <c r="D86" s="26"/>
      <c r="E86" s="26"/>
      <c r="F86" s="27"/>
      <c r="G86" s="27"/>
      <c r="H86" s="27"/>
      <c r="I86" s="27"/>
      <c r="J86" s="27"/>
      <c r="K86" s="27"/>
      <c r="L86" s="27"/>
      <c r="M86" s="29"/>
      <c r="N86" s="28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</row>
    <row r="87" spans="1:44" x14ac:dyDescent="0.2">
      <c r="A87" s="26"/>
      <c r="B87" s="26"/>
      <c r="C87" s="26"/>
      <c r="D87" s="26"/>
      <c r="E87" s="26"/>
      <c r="F87" s="27"/>
      <c r="G87" s="27"/>
      <c r="H87" s="27"/>
      <c r="I87" s="27"/>
      <c r="J87" s="27"/>
      <c r="K87" s="27"/>
      <c r="L87" s="27"/>
      <c r="M87" s="29"/>
      <c r="N87" s="28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</row>
    <row r="88" spans="1:44" x14ac:dyDescent="0.2">
      <c r="A88" s="26"/>
      <c r="B88" s="26"/>
      <c r="C88" s="26"/>
      <c r="D88" s="26"/>
      <c r="E88" s="26"/>
      <c r="F88" s="27"/>
      <c r="G88" s="27"/>
      <c r="H88" s="27"/>
      <c r="I88" s="27"/>
      <c r="J88" s="27"/>
      <c r="K88" s="27"/>
      <c r="L88" s="27"/>
      <c r="M88" s="29"/>
      <c r="N88" s="28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</row>
    <row r="89" spans="1:44" x14ac:dyDescent="0.2">
      <c r="A89" s="26"/>
      <c r="B89" s="26"/>
      <c r="C89" s="26"/>
      <c r="D89" s="26"/>
      <c r="E89" s="26"/>
      <c r="F89" s="27"/>
      <c r="G89" s="27"/>
      <c r="H89" s="27"/>
      <c r="I89" s="27"/>
      <c r="J89" s="27"/>
      <c r="K89" s="27"/>
      <c r="L89" s="27"/>
      <c r="M89" s="29"/>
      <c r="N89" s="28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</row>
    <row r="90" spans="1:44" x14ac:dyDescent="0.2">
      <c r="A90" s="26"/>
      <c r="B90" s="26"/>
      <c r="C90" s="26"/>
      <c r="D90" s="26"/>
      <c r="E90" s="26"/>
      <c r="F90" s="27"/>
      <c r="G90" s="27"/>
      <c r="H90" s="27"/>
      <c r="I90" s="27"/>
      <c r="J90" s="27"/>
      <c r="K90" s="27"/>
      <c r="L90" s="27"/>
      <c r="M90" s="29"/>
      <c r="N90" s="28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</row>
    <row r="91" spans="1:44" x14ac:dyDescent="0.2">
      <c r="A91" s="26"/>
      <c r="B91" s="26"/>
      <c r="C91" s="26"/>
      <c r="D91" s="26"/>
      <c r="E91" s="26"/>
      <c r="F91" s="27"/>
      <c r="G91" s="27"/>
      <c r="H91" s="27"/>
      <c r="I91" s="27"/>
      <c r="J91" s="27"/>
      <c r="K91" s="27"/>
      <c r="L91" s="27"/>
      <c r="M91" s="29"/>
      <c r="N91" s="28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</row>
    <row r="92" spans="1:44" x14ac:dyDescent="0.2">
      <c r="A92" s="26"/>
      <c r="B92" s="26"/>
      <c r="C92" s="26"/>
      <c r="D92" s="26"/>
      <c r="E92" s="26"/>
      <c r="F92" s="27"/>
      <c r="G92" s="27"/>
      <c r="H92" s="27"/>
      <c r="I92" s="27"/>
      <c r="J92" s="27"/>
      <c r="K92" s="27"/>
      <c r="L92" s="27"/>
      <c r="M92" s="29"/>
      <c r="N92" s="28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</row>
    <row r="93" spans="1:44" x14ac:dyDescent="0.2">
      <c r="A93" s="26"/>
      <c r="B93" s="26"/>
      <c r="C93" s="26"/>
      <c r="D93" s="26"/>
      <c r="E93" s="26"/>
      <c r="F93" s="27"/>
      <c r="G93" s="27"/>
      <c r="H93" s="27"/>
      <c r="I93" s="27"/>
      <c r="J93" s="27"/>
      <c r="K93" s="27"/>
      <c r="L93" s="27"/>
      <c r="M93" s="29"/>
      <c r="N93" s="28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</row>
    <row r="94" spans="1:44" x14ac:dyDescent="0.2">
      <c r="A94" s="26"/>
      <c r="B94" s="26"/>
      <c r="C94" s="26"/>
      <c r="D94" s="26"/>
      <c r="E94" s="26"/>
      <c r="F94" s="27"/>
      <c r="G94" s="27"/>
      <c r="H94" s="27"/>
      <c r="I94" s="27"/>
      <c r="J94" s="27"/>
      <c r="K94" s="27"/>
      <c r="L94" s="27"/>
      <c r="M94" s="29"/>
      <c r="N94" s="28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</row>
    <row r="95" spans="1:44" x14ac:dyDescent="0.2">
      <c r="A95" s="26"/>
      <c r="B95" s="26"/>
      <c r="C95" s="26"/>
      <c r="D95" s="26"/>
      <c r="E95" s="26"/>
      <c r="F95" s="27"/>
      <c r="G95" s="27"/>
      <c r="H95" s="27"/>
      <c r="I95" s="27"/>
      <c r="J95" s="27"/>
      <c r="K95" s="27"/>
      <c r="L95" s="27"/>
      <c r="M95" s="29"/>
      <c r="N95" s="28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</row>
    <row r="96" spans="1:44" x14ac:dyDescent="0.2">
      <c r="A96" s="26"/>
      <c r="B96" s="26"/>
      <c r="C96" s="26"/>
      <c r="D96" s="26"/>
      <c r="E96" s="26"/>
      <c r="F96" s="27"/>
      <c r="G96" s="27"/>
      <c r="H96" s="27"/>
      <c r="I96" s="27"/>
      <c r="J96" s="27"/>
      <c r="K96" s="27"/>
      <c r="L96" s="27"/>
      <c r="M96" s="29"/>
      <c r="N96" s="28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</row>
    <row r="97" spans="1:44" x14ac:dyDescent="0.2">
      <c r="A97" s="26"/>
      <c r="B97" s="26"/>
      <c r="C97" s="26"/>
      <c r="D97" s="26"/>
      <c r="E97" s="26"/>
      <c r="F97" s="27"/>
      <c r="G97" s="27"/>
      <c r="H97" s="27"/>
      <c r="I97" s="27"/>
      <c r="J97" s="27"/>
      <c r="K97" s="27"/>
      <c r="L97" s="27"/>
      <c r="M97" s="29"/>
      <c r="N97" s="28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</row>
    <row r="98" spans="1:44" x14ac:dyDescent="0.2">
      <c r="A98" s="26"/>
      <c r="B98" s="26"/>
      <c r="C98" s="26"/>
      <c r="D98" s="26"/>
      <c r="E98" s="26"/>
      <c r="F98" s="27"/>
      <c r="G98" s="27"/>
      <c r="H98" s="27"/>
      <c r="I98" s="27"/>
      <c r="J98" s="27"/>
      <c r="K98" s="27"/>
      <c r="L98" s="27"/>
      <c r="M98" s="29"/>
      <c r="N98" s="28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</row>
    <row r="99" spans="1:44" x14ac:dyDescent="0.2">
      <c r="A99" s="26"/>
      <c r="B99" s="26"/>
      <c r="C99" s="26"/>
      <c r="D99" s="26"/>
      <c r="E99" s="26"/>
      <c r="F99" s="27"/>
      <c r="G99" s="27"/>
      <c r="H99" s="27"/>
      <c r="I99" s="27"/>
      <c r="J99" s="27"/>
      <c r="K99" s="27"/>
      <c r="L99" s="27"/>
      <c r="M99" s="29"/>
      <c r="N99" s="28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</row>
    <row r="100" spans="1:44" x14ac:dyDescent="0.2">
      <c r="A100" s="26"/>
      <c r="B100" s="26"/>
      <c r="C100" s="26"/>
      <c r="D100" s="26"/>
      <c r="E100" s="26"/>
      <c r="F100" s="27"/>
      <c r="G100" s="27"/>
      <c r="H100" s="27"/>
      <c r="I100" s="27"/>
      <c r="J100" s="27"/>
      <c r="K100" s="27"/>
      <c r="L100" s="27"/>
      <c r="M100" s="29"/>
      <c r="N100" s="28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</row>
    <row r="101" spans="1:44" x14ac:dyDescent="0.2">
      <c r="A101" s="26"/>
      <c r="B101" s="26"/>
      <c r="C101" s="26"/>
      <c r="D101" s="26"/>
      <c r="E101" s="26"/>
      <c r="F101" s="27"/>
      <c r="G101" s="27"/>
      <c r="H101" s="27"/>
      <c r="I101" s="27"/>
      <c r="J101" s="27"/>
      <c r="K101" s="27"/>
      <c r="L101" s="27"/>
      <c r="M101" s="29"/>
      <c r="N101" s="28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</row>
    <row r="102" spans="1:44" x14ac:dyDescent="0.2">
      <c r="A102" s="26"/>
      <c r="B102" s="26"/>
      <c r="C102" s="26"/>
      <c r="D102" s="26"/>
      <c r="E102" s="26"/>
      <c r="F102" s="27"/>
      <c r="G102" s="27"/>
      <c r="H102" s="27"/>
      <c r="I102" s="27"/>
      <c r="J102" s="27"/>
      <c r="K102" s="27"/>
      <c r="L102" s="27"/>
      <c r="M102" s="29"/>
      <c r="N102" s="28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</row>
    <row r="103" spans="1:44" x14ac:dyDescent="0.2">
      <c r="A103" s="26"/>
      <c r="B103" s="26"/>
      <c r="C103" s="26"/>
      <c r="D103" s="26"/>
      <c r="E103" s="26"/>
      <c r="F103" s="27"/>
      <c r="G103" s="27"/>
      <c r="H103" s="27"/>
      <c r="I103" s="27"/>
      <c r="J103" s="27"/>
      <c r="K103" s="27"/>
      <c r="L103" s="27"/>
      <c r="M103" s="29"/>
      <c r="N103" s="28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</row>
    <row r="104" spans="1:44" x14ac:dyDescent="0.2">
      <c r="A104" s="26"/>
      <c r="B104" s="26"/>
      <c r="C104" s="26"/>
      <c r="D104" s="26"/>
      <c r="E104" s="26"/>
      <c r="F104" s="27"/>
      <c r="G104" s="27"/>
      <c r="H104" s="27"/>
      <c r="I104" s="27"/>
      <c r="J104" s="27"/>
      <c r="K104" s="27"/>
      <c r="L104" s="27"/>
      <c r="M104" s="29"/>
      <c r="N104" s="28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</row>
    <row r="105" spans="1:44" x14ac:dyDescent="0.2">
      <c r="A105" s="26"/>
      <c r="B105" s="26"/>
      <c r="C105" s="26"/>
      <c r="D105" s="26"/>
      <c r="E105" s="26"/>
      <c r="F105" s="27"/>
      <c r="G105" s="27"/>
      <c r="H105" s="27"/>
      <c r="I105" s="27"/>
      <c r="J105" s="27"/>
      <c r="K105" s="27"/>
      <c r="L105" s="27"/>
      <c r="M105" s="29"/>
      <c r="N105" s="28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</row>
    <row r="106" spans="1:44" x14ac:dyDescent="0.2">
      <c r="A106" s="26"/>
      <c r="B106" s="26"/>
      <c r="C106" s="26"/>
      <c r="D106" s="26"/>
      <c r="E106" s="26"/>
      <c r="F106" s="27"/>
      <c r="G106" s="27"/>
      <c r="H106" s="27"/>
      <c r="I106" s="27"/>
      <c r="J106" s="27"/>
      <c r="K106" s="27"/>
      <c r="L106" s="27"/>
      <c r="M106" s="29"/>
      <c r="N106" s="28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</row>
    <row r="107" spans="1:44" x14ac:dyDescent="0.2">
      <c r="A107" s="26"/>
      <c r="B107" s="26"/>
      <c r="C107" s="26"/>
      <c r="D107" s="26"/>
      <c r="E107" s="26"/>
      <c r="F107" s="27"/>
      <c r="G107" s="27"/>
      <c r="H107" s="27"/>
      <c r="I107" s="27"/>
      <c r="J107" s="27"/>
      <c r="K107" s="27"/>
      <c r="L107" s="27"/>
      <c r="M107" s="29"/>
      <c r="N107" s="28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</row>
    <row r="108" spans="1:44" x14ac:dyDescent="0.2">
      <c r="A108" s="26"/>
      <c r="B108" s="26"/>
      <c r="C108" s="26"/>
      <c r="D108" s="26"/>
      <c r="E108" s="26"/>
      <c r="F108" s="27"/>
      <c r="G108" s="27"/>
      <c r="H108" s="27"/>
      <c r="I108" s="27"/>
      <c r="J108" s="27"/>
      <c r="K108" s="27"/>
      <c r="L108" s="27"/>
      <c r="M108" s="29"/>
      <c r="N108" s="28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</row>
    <row r="109" spans="1:44" x14ac:dyDescent="0.2">
      <c r="A109" s="26"/>
      <c r="B109" s="26"/>
      <c r="C109" s="26"/>
      <c r="D109" s="26"/>
      <c r="E109" s="26"/>
      <c r="F109" s="27"/>
      <c r="G109" s="27"/>
      <c r="H109" s="27"/>
      <c r="I109" s="27"/>
      <c r="J109" s="27"/>
      <c r="K109" s="27"/>
      <c r="L109" s="27"/>
      <c r="M109" s="29"/>
      <c r="N109" s="28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</row>
    <row r="110" spans="1:44" x14ac:dyDescent="0.2">
      <c r="A110" s="26"/>
      <c r="B110" s="26"/>
      <c r="C110" s="26"/>
      <c r="D110" s="26"/>
      <c r="E110" s="26"/>
      <c r="F110" s="27"/>
      <c r="G110" s="27"/>
      <c r="H110" s="27"/>
      <c r="I110" s="27"/>
      <c r="J110" s="27"/>
      <c r="K110" s="27"/>
      <c r="L110" s="27"/>
      <c r="M110" s="29"/>
      <c r="N110" s="28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</row>
    <row r="111" spans="1:44" x14ac:dyDescent="0.2">
      <c r="A111" s="26"/>
      <c r="B111" s="26"/>
      <c r="C111" s="26"/>
      <c r="D111" s="26"/>
      <c r="E111" s="26"/>
      <c r="F111" s="27"/>
      <c r="G111" s="27"/>
      <c r="H111" s="27"/>
      <c r="I111" s="27"/>
      <c r="J111" s="27"/>
      <c r="K111" s="27"/>
      <c r="L111" s="27"/>
      <c r="M111" s="29"/>
      <c r="N111" s="28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</row>
    <row r="112" spans="1:44" x14ac:dyDescent="0.2">
      <c r="A112" s="26"/>
      <c r="B112" s="26"/>
      <c r="C112" s="26"/>
      <c r="D112" s="26"/>
      <c r="E112" s="26"/>
      <c r="F112" s="27"/>
      <c r="G112" s="27"/>
      <c r="H112" s="27"/>
      <c r="I112" s="27"/>
      <c r="J112" s="27"/>
      <c r="K112" s="27"/>
      <c r="L112" s="27"/>
      <c r="M112" s="29"/>
      <c r="N112" s="28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</row>
  </sheetData>
  <mergeCells count="1">
    <mergeCell ref="B60:D62"/>
  </mergeCells>
  <hyperlinks>
    <hyperlink ref="B60:D62" location="Laufzeitkurven!C2" tooltip="Zur Auswahl der Auswertemethode" display="WEITER" xr:uid="{00000000-0004-0000-0000-000000000000}"/>
  </hyperlinks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tabColor indexed="9"/>
  </sheetPr>
  <dimension ref="A1:AR111"/>
  <sheetViews>
    <sheetView workbookViewId="0">
      <selection activeCell="E25" sqref="E25"/>
    </sheetView>
  </sheetViews>
  <sheetFormatPr baseColWidth="10" defaultColWidth="11.5703125" defaultRowHeight="12" x14ac:dyDescent="0.2"/>
  <cols>
    <col min="1" max="5" width="11.5703125" style="4" customWidth="1"/>
    <col min="6" max="12" width="11.5703125" style="5" customWidth="1"/>
    <col min="13" max="13" width="11.5703125" style="2" customWidth="1"/>
    <col min="14" max="14" width="11.5703125" style="3" customWidth="1"/>
    <col min="15" max="17" width="11.5703125" style="2"/>
    <col min="18" max="18" width="13.42578125" style="2" bestFit="1" customWidth="1"/>
    <col min="19" max="16384" width="11.5703125" style="2"/>
  </cols>
  <sheetData>
    <row r="1" spans="1:44" x14ac:dyDescent="0.2">
      <c r="A1" s="26"/>
      <c r="B1" s="26" t="s">
        <v>85</v>
      </c>
      <c r="C1" s="208">
        <f>IF('Picks importieren'!C2="","",'Picks importieren'!C2)</f>
        <v>96.25</v>
      </c>
      <c r="D1" s="208">
        <f>IF('Picks importieren'!D2="","",'Picks importieren'!D2)</f>
        <v>1.7</v>
      </c>
      <c r="E1" s="208">
        <f>IF('Picks importieren'!E2="","",'Picks importieren'!E2)</f>
        <v>195</v>
      </c>
      <c r="F1" s="208">
        <f>IF('Picks importieren'!F2="","",'Picks importieren'!F2)</f>
        <v>1.6</v>
      </c>
      <c r="G1" s="208">
        <f>IF('Picks importieren'!G2="","",'Picks importieren'!G2)</f>
        <v>-2.5</v>
      </c>
      <c r="H1" s="208">
        <f>IF('Picks importieren'!H2="","",'Picks importieren'!H2)</f>
        <v>1.8</v>
      </c>
      <c r="I1" s="208" t="str">
        <f>IF('Picks importieren'!I2="","",'Picks importieren'!I2)</f>
        <v/>
      </c>
      <c r="J1" s="208" t="str">
        <f>IF('Picks importieren'!J2="","",'Picks importieren'!J2)</f>
        <v/>
      </c>
      <c r="K1" s="208" t="str">
        <f>IF('Picks importieren'!K2="","",'Picks importieren'!K2)</f>
        <v/>
      </c>
      <c r="L1" s="208" t="str">
        <f>IF('Picks importieren'!L2="","",'Picks importieren'!L2)</f>
        <v/>
      </c>
      <c r="M1" s="208" t="str">
        <f>IF('Picks importieren'!M2="","",'Picks importieren'!M2)</f>
        <v/>
      </c>
      <c r="N1" s="208" t="str">
        <f>IF('Picks importieren'!N2="","",'Picks importieren'!N2)</f>
        <v/>
      </c>
      <c r="O1" s="208" t="str">
        <f>IF('Picks importieren'!O2="","",'Picks importieren'!O2)</f>
        <v/>
      </c>
      <c r="P1" s="208" t="str">
        <f>IF('Picks importieren'!P2="","",'Picks importieren'!P2)</f>
        <v/>
      </c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</row>
    <row r="2" spans="1:44" s="1" customFormat="1" ht="12.75" x14ac:dyDescent="0.2">
      <c r="A2" s="56" t="s">
        <v>1</v>
      </c>
      <c r="B2" s="56" t="s">
        <v>0</v>
      </c>
      <c r="C2" s="56" t="s">
        <v>5</v>
      </c>
      <c r="D2" s="71" t="s">
        <v>4</v>
      </c>
      <c r="E2" s="71" t="s">
        <v>5</v>
      </c>
      <c r="F2" s="71" t="s">
        <v>45</v>
      </c>
      <c r="G2" s="71" t="s">
        <v>5</v>
      </c>
      <c r="H2" s="71" t="s">
        <v>46</v>
      </c>
      <c r="I2" s="71" t="s">
        <v>5</v>
      </c>
      <c r="J2" s="71" t="s">
        <v>37</v>
      </c>
      <c r="K2" s="71" t="s">
        <v>5</v>
      </c>
      <c r="L2" s="71" t="s">
        <v>38</v>
      </c>
      <c r="M2" s="71" t="s">
        <v>5</v>
      </c>
      <c r="N2" s="71" t="s">
        <v>39</v>
      </c>
      <c r="O2" s="71" t="s">
        <v>5</v>
      </c>
      <c r="P2" s="71" t="s">
        <v>40</v>
      </c>
      <c r="Q2" s="35"/>
      <c r="R2" s="211"/>
      <c r="S2" s="211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</row>
    <row r="3" spans="1:44" ht="12.75" x14ac:dyDescent="0.2">
      <c r="A3" s="57">
        <v>1</v>
      </c>
      <c r="B3" s="57">
        <f>'Picks importieren'!B4</f>
        <v>0</v>
      </c>
      <c r="C3" s="142">
        <f>IF(C$1="","",SQRT(($B3-C$1)^2+D$1^2))</f>
        <v>96.26501181633958</v>
      </c>
      <c r="D3" s="214">
        <f>'Picks importieren'!D4+'Picks importieren'!$S$2</f>
        <v>69.439499999999995</v>
      </c>
      <c r="E3" s="142">
        <f>IF(E$1="","",SQRT(($B3-E$1)^2+F$1^2))</f>
        <v>195.00656399208719</v>
      </c>
      <c r="F3" s="214">
        <f>'Picks importieren'!F4+'Picks importieren'!$S$2</f>
        <v>100.92</v>
      </c>
      <c r="G3" s="142">
        <f t="shared" ref="G3:G46" si="0">IF(G$1="","",SQRT(($B3-G$1)^2+H$1^2))</f>
        <v>3.0805843601498726</v>
      </c>
      <c r="H3" s="214">
        <f>'Picks importieren'!H4+'Picks importieren'!$S$2</f>
        <v>7.9097900000000001</v>
      </c>
      <c r="I3" s="142">
        <f t="shared" ref="I3:I34" si="1">IF(I$1="",-999,SQRT(($B3-I$1)^2+J$1^2))</f>
        <v>-999</v>
      </c>
      <c r="J3" s="207">
        <f>IF('Picks importieren'!J4="",-999,'Picks importieren'!J4+'Picks importieren'!$S$2)</f>
        <v>-999</v>
      </c>
      <c r="K3" s="142">
        <f t="shared" ref="K3:K34" si="2">IF(K$1="",-999,SQRT(($B3-K$1)^2+L$1^2))</f>
        <v>-999</v>
      </c>
      <c r="L3" s="207">
        <f>IF('Picks importieren'!L4="",-999,'Picks importieren'!L4+'Picks importieren'!$S$2)</f>
        <v>-999</v>
      </c>
      <c r="M3" s="142">
        <f>IF(M$1="",-999,SQRT(($B3-M$1)^2+N$1^2))</f>
        <v>-999</v>
      </c>
      <c r="N3" s="207">
        <f>IF('Picks importieren'!N4="",-999,'Picks importieren'!N4+'Picks importieren'!$S$2)</f>
        <v>-999</v>
      </c>
      <c r="O3" s="142">
        <f>IF(O$1="",-999,SQRT(($B3-O$1)^2+P$1^2))</f>
        <v>-999</v>
      </c>
      <c r="P3" s="207">
        <f>IF('Picks importieren'!P4="",-999,'Picks importieren'!P4+'Picks importieren'!$S$2)</f>
        <v>-999</v>
      </c>
      <c r="Q3" s="29"/>
      <c r="R3" s="211"/>
      <c r="S3" s="211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</row>
    <row r="4" spans="1:44" ht="12.75" x14ac:dyDescent="0.2">
      <c r="A4" s="57">
        <v>2</v>
      </c>
      <c r="B4" s="57">
        <f>'Picks importieren'!B5</f>
        <v>2.5</v>
      </c>
      <c r="C4" s="142">
        <f t="shared" ref="C4:C50" si="3">IF(C$1="","",SQRT(($B4-C$1)^2+D$1^2))</f>
        <v>93.765412066497092</v>
      </c>
      <c r="D4" s="214">
        <f>'Picks importieren'!D5+'Picks importieren'!$S$2</f>
        <v>68.826300000000003</v>
      </c>
      <c r="E4" s="142">
        <f t="shared" ref="E4:E50" si="4">IF(E$1="","",SQRT(($B4-E$1)^2+F$1^2))</f>
        <v>192.50664923581212</v>
      </c>
      <c r="F4" s="214">
        <f>'Picks importieren'!F5+'Picks importieren'!$S$2</f>
        <v>100.511</v>
      </c>
      <c r="G4" s="142">
        <f t="shared" si="0"/>
        <v>5.3141321022345691</v>
      </c>
      <c r="H4" s="214">
        <f>'Picks importieren'!H5+'Picks importieren'!$S$2</f>
        <v>13.6335</v>
      </c>
      <c r="I4" s="142">
        <f t="shared" si="1"/>
        <v>-999</v>
      </c>
      <c r="J4" s="207">
        <f>IF('Picks importieren'!J5="",-999,'Picks importieren'!J5+'Picks importieren'!$S$2)</f>
        <v>-999</v>
      </c>
      <c r="K4" s="142">
        <f t="shared" si="2"/>
        <v>-999</v>
      </c>
      <c r="L4" s="207">
        <f>IF('Picks importieren'!L5="",-999,'Picks importieren'!L5+'Picks importieren'!$S$2)</f>
        <v>-999</v>
      </c>
      <c r="M4" s="142">
        <f t="shared" ref="M4:M50" si="5">IF(M$1="",-999,SQRT(($B4-M$1)^2+N$1^2))</f>
        <v>-999</v>
      </c>
      <c r="N4" s="207">
        <f>IF('Picks importieren'!N5="",-999,'Picks importieren'!N5+'Picks importieren'!$S$2)</f>
        <v>-999</v>
      </c>
      <c r="O4" s="142">
        <f t="shared" ref="O4:O50" si="6">IF(O$1="",-999,SQRT(($B4-O$1)^2+P$1^2))</f>
        <v>-999</v>
      </c>
      <c r="P4" s="207">
        <f>IF('Picks importieren'!P5="",-999,'Picks importieren'!P5+'Picks importieren'!$S$2)</f>
        <v>-999</v>
      </c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</row>
    <row r="5" spans="1:44" ht="12.75" x14ac:dyDescent="0.2">
      <c r="A5" s="57">
        <v>3</v>
      </c>
      <c r="B5" s="57">
        <f>'Picks importieren'!B6</f>
        <v>5</v>
      </c>
      <c r="C5" s="142">
        <f t="shared" si="3"/>
        <v>91.265834242612385</v>
      </c>
      <c r="D5" s="214">
        <f>'Picks importieren'!D6+'Picks importieren'!$S$2</f>
        <v>68.008600000000001</v>
      </c>
      <c r="E5" s="142">
        <f t="shared" si="4"/>
        <v>190.00673672267519</v>
      </c>
      <c r="F5" s="214">
        <f>'Picks importieren'!F6+'Picks importieren'!$S$2</f>
        <v>100.102</v>
      </c>
      <c r="G5" s="142">
        <f t="shared" si="0"/>
        <v>7.712976079309465</v>
      </c>
      <c r="H5" s="214">
        <f>'Picks importieren'!H6+'Picks importieren'!$S$2</f>
        <v>18.5032</v>
      </c>
      <c r="I5" s="142">
        <f t="shared" si="1"/>
        <v>-999</v>
      </c>
      <c r="J5" s="207">
        <f>IF('Picks importieren'!J6="",-999,'Picks importieren'!J6+'Picks importieren'!$S$2)</f>
        <v>-999</v>
      </c>
      <c r="K5" s="142">
        <f t="shared" si="2"/>
        <v>-999</v>
      </c>
      <c r="L5" s="207">
        <f>IF('Picks importieren'!L6="",-999,'Picks importieren'!L6+'Picks importieren'!$S$2)</f>
        <v>-999</v>
      </c>
      <c r="M5" s="142">
        <f t="shared" si="5"/>
        <v>-999</v>
      </c>
      <c r="N5" s="207">
        <f>IF('Picks importieren'!N6="",-999,'Picks importieren'!N6+'Picks importieren'!$S$2)</f>
        <v>-999</v>
      </c>
      <c r="O5" s="142">
        <f t="shared" si="6"/>
        <v>-999</v>
      </c>
      <c r="P5" s="207">
        <f>IF('Picks importieren'!P6="",-999,'Picks importieren'!P6+'Picks importieren'!$S$2)</f>
        <v>-999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</row>
    <row r="6" spans="1:44" ht="12.75" x14ac:dyDescent="0.2">
      <c r="A6" s="57">
        <v>4</v>
      </c>
      <c r="B6" s="57">
        <f>'Picks importieren'!B7</f>
        <v>7.5</v>
      </c>
      <c r="C6" s="142">
        <f t="shared" si="3"/>
        <v>88.766280196930637</v>
      </c>
      <c r="D6" s="214">
        <f>'Picks importieren'!D7+'Picks importieren'!$S$2</f>
        <v>67.190899999999999</v>
      </c>
      <c r="E6" s="142">
        <f t="shared" si="4"/>
        <v>187.50682654239552</v>
      </c>
      <c r="F6" s="214">
        <f>'Picks importieren'!F7+'Picks importieren'!$S$2</f>
        <v>99.284499999999994</v>
      </c>
      <c r="G6" s="142">
        <f t="shared" si="0"/>
        <v>10.160708636704429</v>
      </c>
      <c r="H6" s="214">
        <f>'Picks importieren'!H7+'Picks importieren'!$S$2</f>
        <v>23.624700000000001</v>
      </c>
      <c r="I6" s="142">
        <f t="shared" si="1"/>
        <v>-999</v>
      </c>
      <c r="J6" s="207">
        <f>IF('Picks importieren'!J7="",-999,'Picks importieren'!J7+'Picks importieren'!$S$2)</f>
        <v>-999</v>
      </c>
      <c r="K6" s="142">
        <f t="shared" si="2"/>
        <v>-999</v>
      </c>
      <c r="L6" s="207">
        <f>IF('Picks importieren'!L7="",-999,'Picks importieren'!L7+'Picks importieren'!$S$2)</f>
        <v>-999</v>
      </c>
      <c r="M6" s="142">
        <f t="shared" si="5"/>
        <v>-999</v>
      </c>
      <c r="N6" s="207">
        <f>IF('Picks importieren'!N7="",-999,'Picks importieren'!N7+'Picks importieren'!$S$2)</f>
        <v>-999</v>
      </c>
      <c r="O6" s="142">
        <f t="shared" si="6"/>
        <v>-999</v>
      </c>
      <c r="P6" s="207">
        <f>IF('Picks importieren'!P7="",-999,'Picks importieren'!P7+'Picks importieren'!$S$2)</f>
        <v>-999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</row>
    <row r="7" spans="1:44" ht="12.75" x14ac:dyDescent="0.2">
      <c r="A7" s="57">
        <v>5</v>
      </c>
      <c r="B7" s="57">
        <f>'Picks importieren'!B8</f>
        <v>10</v>
      </c>
      <c r="C7" s="142">
        <f t="shared" si="3"/>
        <v>86.266751996351417</v>
      </c>
      <c r="D7" s="214">
        <f>'Picks importieren'!D8+'Picks importieren'!$S$2</f>
        <v>66.3733</v>
      </c>
      <c r="E7" s="142">
        <f t="shared" si="4"/>
        <v>185.00691878954149</v>
      </c>
      <c r="F7" s="214">
        <f>'Picks importieren'!F8+'Picks importieren'!$S$2</f>
        <v>98.466899999999995</v>
      </c>
      <c r="G7" s="142">
        <f t="shared" si="0"/>
        <v>12.628935030318273</v>
      </c>
      <c r="H7" s="214">
        <f>'Picks importieren'!H8+'Picks importieren'!$S$2</f>
        <v>28.874300000000002</v>
      </c>
      <c r="I7" s="142">
        <f t="shared" si="1"/>
        <v>-999</v>
      </c>
      <c r="J7" s="207">
        <f>IF('Picks importieren'!J8="",-999,'Picks importieren'!J8+'Picks importieren'!$S$2)</f>
        <v>-999</v>
      </c>
      <c r="K7" s="142">
        <f t="shared" si="2"/>
        <v>-999</v>
      </c>
      <c r="L7" s="207">
        <f>IF('Picks importieren'!L8="",-999,'Picks importieren'!L8+'Picks importieren'!$S$2)</f>
        <v>-999</v>
      </c>
      <c r="M7" s="142">
        <f t="shared" si="5"/>
        <v>-999</v>
      </c>
      <c r="N7" s="207">
        <f>IF('Picks importieren'!N8="",-999,'Picks importieren'!N8+'Picks importieren'!$S$2)</f>
        <v>-999</v>
      </c>
      <c r="O7" s="142">
        <f t="shared" si="6"/>
        <v>-999</v>
      </c>
      <c r="P7" s="207">
        <f>IF('Picks importieren'!P8="",-999,'Picks importieren'!P8+'Picks importieren'!$S$2)</f>
        <v>-999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12.75" x14ac:dyDescent="0.2">
      <c r="A8" s="57">
        <v>6</v>
      </c>
      <c r="B8" s="57">
        <f>'Picks importieren'!B9</f>
        <v>15</v>
      </c>
      <c r="C8" s="142">
        <f t="shared" si="3"/>
        <v>81.26778266939489</v>
      </c>
      <c r="D8" s="214">
        <f>'Picks importieren'!D9+'Picks importieren'!$S$2</f>
        <v>63.715800000000002</v>
      </c>
      <c r="E8" s="142">
        <f t="shared" si="4"/>
        <v>180.00711097065027</v>
      </c>
      <c r="F8" s="214">
        <f>'Picks importieren'!F9+'Picks importieren'!$S$2</f>
        <v>97.035899999999998</v>
      </c>
      <c r="G8" s="142">
        <f t="shared" si="0"/>
        <v>17.592327873252021</v>
      </c>
      <c r="H8" s="214">
        <f>'Picks importieren'!H9+'Picks importieren'!$S$2</f>
        <v>32.715499999999999</v>
      </c>
      <c r="I8" s="142">
        <f t="shared" si="1"/>
        <v>-999</v>
      </c>
      <c r="J8" s="207">
        <f>IF('Picks importieren'!J9="",-999,'Picks importieren'!J9+'Picks importieren'!$S$2)</f>
        <v>-999</v>
      </c>
      <c r="K8" s="142">
        <f t="shared" si="2"/>
        <v>-999</v>
      </c>
      <c r="L8" s="207">
        <f>IF('Picks importieren'!L9="",-999,'Picks importieren'!L9+'Picks importieren'!$S$2)</f>
        <v>-999</v>
      </c>
      <c r="M8" s="142">
        <f t="shared" si="5"/>
        <v>-999</v>
      </c>
      <c r="N8" s="207">
        <f>IF('Picks importieren'!N9="",-999,'Picks importieren'!N9+'Picks importieren'!$S$2)</f>
        <v>-999</v>
      </c>
      <c r="O8" s="142">
        <f t="shared" si="6"/>
        <v>-999</v>
      </c>
      <c r="P8" s="207">
        <f>IF('Picks importieren'!P9="",-999,'Picks importieren'!P9+'Picks importieren'!$S$2)</f>
        <v>-999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</row>
    <row r="9" spans="1:44" ht="12.75" x14ac:dyDescent="0.2">
      <c r="A9" s="57">
        <v>7</v>
      </c>
      <c r="B9" s="57">
        <f>'Picks importieren'!B10</f>
        <v>20</v>
      </c>
      <c r="C9" s="142">
        <f t="shared" si="3"/>
        <v>76.268948465283046</v>
      </c>
      <c r="D9" s="214">
        <f>'Picks importieren'!D10+'Picks importieren'!$S$2</f>
        <v>61.876100000000001</v>
      </c>
      <c r="E9" s="142">
        <f t="shared" si="4"/>
        <v>175.00731413286704</v>
      </c>
      <c r="F9" s="214">
        <f>'Picks importieren'!F10+'Picks importieren'!$S$2</f>
        <v>95.605000000000004</v>
      </c>
      <c r="G9" s="142">
        <f t="shared" si="0"/>
        <v>22.571885167172013</v>
      </c>
      <c r="H9" s="214">
        <f>'Picks importieren'!H10+'Picks importieren'!$S$2</f>
        <v>35.788400000000003</v>
      </c>
      <c r="I9" s="142">
        <f t="shared" si="1"/>
        <v>-999</v>
      </c>
      <c r="J9" s="207">
        <f>IF('Picks importieren'!J10="",-999,'Picks importieren'!J10+'Picks importieren'!$S$2)</f>
        <v>-999</v>
      </c>
      <c r="K9" s="142">
        <f t="shared" si="2"/>
        <v>-999</v>
      </c>
      <c r="L9" s="207">
        <f>IF('Picks importieren'!L10="",-999,'Picks importieren'!L10+'Picks importieren'!$S$2)</f>
        <v>-999</v>
      </c>
      <c r="M9" s="142">
        <f t="shared" si="5"/>
        <v>-999</v>
      </c>
      <c r="N9" s="207">
        <f>IF('Picks importieren'!N10="",-999,'Picks importieren'!N10+'Picks importieren'!$S$2)</f>
        <v>-999</v>
      </c>
      <c r="O9" s="142">
        <f t="shared" si="6"/>
        <v>-999</v>
      </c>
      <c r="P9" s="207">
        <f>IF('Picks importieren'!P10="",-999,'Picks importieren'!P10+'Picks importieren'!$S$2)</f>
        <v>-999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</row>
    <row r="10" spans="1:44" ht="12.75" x14ac:dyDescent="0.2">
      <c r="A10" s="57">
        <v>8</v>
      </c>
      <c r="B10" s="57">
        <f>'Picks importieren'!B11</f>
        <v>25</v>
      </c>
      <c r="C10" s="142">
        <f t="shared" si="3"/>
        <v>71.270277816211717</v>
      </c>
      <c r="D10" s="214">
        <f>'Picks importieren'!D11+'Picks importieren'!$S$2</f>
        <v>59.831899999999997</v>
      </c>
      <c r="E10" s="142">
        <f t="shared" si="4"/>
        <v>170.00752924503081</v>
      </c>
      <c r="F10" s="214">
        <f>'Picks importieren'!F11+'Picks importieren'!$S$2</f>
        <v>94.378500000000003</v>
      </c>
      <c r="G10" s="142">
        <f t="shared" si="0"/>
        <v>27.558846129691279</v>
      </c>
      <c r="H10" s="214">
        <f>'Picks importieren'!H11+'Picks importieren'!$S$2</f>
        <v>38.368000000000002</v>
      </c>
      <c r="I10" s="142">
        <f t="shared" si="1"/>
        <v>-999</v>
      </c>
      <c r="J10" s="207">
        <f>IF('Picks importieren'!J11="",-999,'Picks importieren'!J11+'Picks importieren'!$S$2)</f>
        <v>-999</v>
      </c>
      <c r="K10" s="142">
        <f t="shared" si="2"/>
        <v>-999</v>
      </c>
      <c r="L10" s="207">
        <f>IF('Picks importieren'!L11="",-999,'Picks importieren'!L11+'Picks importieren'!$S$2)</f>
        <v>-999</v>
      </c>
      <c r="M10" s="142">
        <f t="shared" si="5"/>
        <v>-999</v>
      </c>
      <c r="N10" s="207">
        <f>IF('Picks importieren'!N11="",-999,'Picks importieren'!N11+'Picks importieren'!$S$2)</f>
        <v>-999</v>
      </c>
      <c r="O10" s="142">
        <f t="shared" si="6"/>
        <v>-999</v>
      </c>
      <c r="P10" s="207">
        <f>IF('Picks importieren'!P11="",-999,'Picks importieren'!P11+'Picks importieren'!$S$2)</f>
        <v>-999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</row>
    <row r="11" spans="1:44" ht="12.75" x14ac:dyDescent="0.2">
      <c r="A11" s="57">
        <v>9</v>
      </c>
      <c r="B11" s="57">
        <f>'Picks importieren'!B12</f>
        <v>30</v>
      </c>
      <c r="C11" s="142">
        <f t="shared" si="3"/>
        <v>66.271807731493183</v>
      </c>
      <c r="D11" s="214">
        <f>'Picks importieren'!D12+'Picks importieren'!$S$2</f>
        <v>57.174500000000002</v>
      </c>
      <c r="E11" s="142">
        <f t="shared" si="4"/>
        <v>165.00775739340258</v>
      </c>
      <c r="F11" s="214">
        <f>'Picks importieren'!F12+'Picks importieren'!$S$2</f>
        <v>92.538700000000006</v>
      </c>
      <c r="G11" s="142">
        <f t="shared" si="0"/>
        <v>32.549807987144874</v>
      </c>
      <c r="H11" s="214">
        <f>'Picks importieren'!H12+'Picks importieren'!$S$2</f>
        <v>41.1661</v>
      </c>
      <c r="I11" s="142">
        <f t="shared" si="1"/>
        <v>-999</v>
      </c>
      <c r="J11" s="207">
        <f>IF('Picks importieren'!J12="",-999,'Picks importieren'!J12+'Picks importieren'!$S$2)</f>
        <v>-999</v>
      </c>
      <c r="K11" s="142">
        <f t="shared" si="2"/>
        <v>-999</v>
      </c>
      <c r="L11" s="207">
        <f>IF('Picks importieren'!L12="",-999,'Picks importieren'!L12+'Picks importieren'!$S$2)</f>
        <v>-999</v>
      </c>
      <c r="M11" s="142">
        <f t="shared" si="5"/>
        <v>-999</v>
      </c>
      <c r="N11" s="207">
        <f>IF('Picks importieren'!N12="",-999,'Picks importieren'!N12+'Picks importieren'!$S$2)</f>
        <v>-999</v>
      </c>
      <c r="O11" s="142">
        <f t="shared" si="6"/>
        <v>-999</v>
      </c>
      <c r="P11" s="207">
        <f>IF('Picks importieren'!P12="",-999,'Picks importieren'!P12+'Picks importieren'!$S$2)</f>
        <v>-999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</row>
    <row r="12" spans="1:44" ht="12.75" x14ac:dyDescent="0.2">
      <c r="A12" s="57">
        <v>10</v>
      </c>
      <c r="B12" s="57">
        <f>'Picks importieren'!B13</f>
        <v>35</v>
      </c>
      <c r="C12" s="142">
        <f t="shared" si="3"/>
        <v>61.273587295016441</v>
      </c>
      <c r="D12" s="214">
        <f>'Picks importieren'!D13+'Picks importieren'!$S$2</f>
        <v>54.517000000000003</v>
      </c>
      <c r="E12" s="142">
        <f t="shared" si="4"/>
        <v>160.00799980001</v>
      </c>
      <c r="F12" s="214">
        <f>'Picks importieren'!F13+'Picks importieren'!$S$2</f>
        <v>90.494600000000005</v>
      </c>
      <c r="G12" s="142">
        <f t="shared" si="0"/>
        <v>37.543175145424236</v>
      </c>
      <c r="H12" s="214">
        <f>'Picks importieren'!H13+'Picks importieren'!$S$2</f>
        <v>43.726799999999997</v>
      </c>
      <c r="I12" s="142">
        <f t="shared" si="1"/>
        <v>-999</v>
      </c>
      <c r="J12" s="207">
        <f>IF('Picks importieren'!J13="",-999,'Picks importieren'!J13+'Picks importieren'!$S$2)</f>
        <v>-999</v>
      </c>
      <c r="K12" s="142">
        <f t="shared" si="2"/>
        <v>-999</v>
      </c>
      <c r="L12" s="207">
        <f>IF('Picks importieren'!L13="",-999,'Picks importieren'!L13+'Picks importieren'!$S$2)</f>
        <v>-999</v>
      </c>
      <c r="M12" s="142">
        <f t="shared" si="5"/>
        <v>-999</v>
      </c>
      <c r="N12" s="207">
        <f>IF('Picks importieren'!N13="",-999,'Picks importieren'!N13+'Picks importieren'!$S$2)</f>
        <v>-999</v>
      </c>
      <c r="O12" s="142">
        <f t="shared" si="6"/>
        <v>-999</v>
      </c>
      <c r="P12" s="207">
        <f>IF('Picks importieren'!P13="",-999,'Picks importieren'!P13+'Picks importieren'!$S$2)</f>
        <v>-999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</row>
    <row r="13" spans="1:44" ht="12.75" x14ac:dyDescent="0.2">
      <c r="A13" s="57">
        <v>11</v>
      </c>
      <c r="B13" s="57">
        <f>'Picks importieren'!B14</f>
        <v>40</v>
      </c>
      <c r="C13" s="142">
        <f t="shared" si="3"/>
        <v>56.275683025619507</v>
      </c>
      <c r="D13" s="214">
        <f>'Picks importieren'!D14+'Picks importieren'!$S$2</f>
        <v>51.246400000000001</v>
      </c>
      <c r="E13" s="142">
        <f t="shared" si="4"/>
        <v>155.00825784454196</v>
      </c>
      <c r="F13" s="214">
        <f>'Picks importieren'!F14+'Picks importieren'!$S$2</f>
        <v>88.859200000000001</v>
      </c>
      <c r="G13" s="142">
        <f t="shared" si="0"/>
        <v>42.538100568784216</v>
      </c>
      <c r="H13" s="214">
        <f>'Picks importieren'!H14+'Picks importieren'!$S$2</f>
        <v>46.287599999999998</v>
      </c>
      <c r="I13" s="142">
        <f t="shared" si="1"/>
        <v>-999</v>
      </c>
      <c r="J13" s="207">
        <f>IF('Picks importieren'!J14="",-999,'Picks importieren'!J14+'Picks importieren'!$S$2)</f>
        <v>-999</v>
      </c>
      <c r="K13" s="142">
        <f t="shared" si="2"/>
        <v>-999</v>
      </c>
      <c r="L13" s="207">
        <f>IF('Picks importieren'!L14="",-999,'Picks importieren'!L14+'Picks importieren'!$S$2)</f>
        <v>-999</v>
      </c>
      <c r="M13" s="142">
        <f t="shared" si="5"/>
        <v>-999</v>
      </c>
      <c r="N13" s="207">
        <f>IF('Picks importieren'!N14="",-999,'Picks importieren'!N14+'Picks importieren'!$S$2)</f>
        <v>-999</v>
      </c>
      <c r="O13" s="142">
        <f t="shared" si="6"/>
        <v>-999</v>
      </c>
      <c r="P13" s="207">
        <f>IF('Picks importieren'!P14="",-999,'Picks importieren'!P14+'Picks importieren'!$S$2)</f>
        <v>-999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</row>
    <row r="14" spans="1:44" ht="12.75" x14ac:dyDescent="0.2">
      <c r="A14" s="57">
        <v>12</v>
      </c>
      <c r="B14" s="57">
        <f>'Picks importieren'!B15</f>
        <v>45</v>
      </c>
      <c r="C14" s="142">
        <f t="shared" si="3"/>
        <v>51.278187370459968</v>
      </c>
      <c r="D14" s="214">
        <f>'Picks importieren'!D15+'Picks importieren'!$S$2</f>
        <v>48.793399999999998</v>
      </c>
      <c r="E14" s="142">
        <f t="shared" si="4"/>
        <v>150.00853309062123</v>
      </c>
      <c r="F14" s="214">
        <f>'Picks importieren'!F15+'Picks importieren'!$S$2</f>
        <v>87.2239</v>
      </c>
      <c r="G14" s="142">
        <f t="shared" si="0"/>
        <v>47.534093028057235</v>
      </c>
      <c r="H14" s="214">
        <f>'Picks importieren'!H15+'Picks importieren'!$S$2</f>
        <v>49.104500000000002</v>
      </c>
      <c r="I14" s="142">
        <f t="shared" si="1"/>
        <v>-999</v>
      </c>
      <c r="J14" s="207">
        <f>IF('Picks importieren'!J15="",-999,'Picks importieren'!J15+'Picks importieren'!$S$2)</f>
        <v>-999</v>
      </c>
      <c r="K14" s="142">
        <f t="shared" si="2"/>
        <v>-999</v>
      </c>
      <c r="L14" s="207">
        <f>IF('Picks importieren'!L15="",-999,'Picks importieren'!L15+'Picks importieren'!$S$2)</f>
        <v>-999</v>
      </c>
      <c r="M14" s="142">
        <f t="shared" si="5"/>
        <v>-999</v>
      </c>
      <c r="N14" s="207">
        <f>IF('Picks importieren'!N15="",-999,'Picks importieren'!N15+'Picks importieren'!$S$2)</f>
        <v>-999</v>
      </c>
      <c r="O14" s="142">
        <f t="shared" si="6"/>
        <v>-999</v>
      </c>
      <c r="P14" s="207">
        <f>IF('Picks importieren'!P15="",-999,'Picks importieren'!P15+'Picks importieren'!$S$2)</f>
        <v>-999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</row>
    <row r="15" spans="1:44" ht="12.75" x14ac:dyDescent="0.2">
      <c r="A15" s="57">
        <v>13</v>
      </c>
      <c r="B15" s="57">
        <f>'Picks importieren'!B16</f>
        <v>50</v>
      </c>
      <c r="C15" s="142">
        <f t="shared" si="3"/>
        <v>46.281232697498453</v>
      </c>
      <c r="D15" s="214">
        <f>'Picks importieren'!D16+'Picks importieren'!$S$2</f>
        <v>46.135899999999999</v>
      </c>
      <c r="E15" s="142">
        <f t="shared" si="4"/>
        <v>145.00882731751196</v>
      </c>
      <c r="F15" s="214">
        <f>'Picks importieren'!F16+'Picks importieren'!$S$2</f>
        <v>85.588499999999996</v>
      </c>
      <c r="G15" s="142">
        <f t="shared" si="0"/>
        <v>52.530848079961544</v>
      </c>
      <c r="H15" s="214">
        <f>'Picks importieren'!H16+'Picks importieren'!$S$2</f>
        <v>51.921300000000002</v>
      </c>
      <c r="I15" s="142">
        <f t="shared" si="1"/>
        <v>-999</v>
      </c>
      <c r="J15" s="207">
        <f>IF('Picks importieren'!J16="",-999,'Picks importieren'!J16+'Picks importieren'!$S$2)</f>
        <v>-999</v>
      </c>
      <c r="K15" s="142">
        <f t="shared" si="2"/>
        <v>-999</v>
      </c>
      <c r="L15" s="207">
        <f>IF('Picks importieren'!L16="",-999,'Picks importieren'!L16+'Picks importieren'!$S$2)</f>
        <v>-999</v>
      </c>
      <c r="M15" s="142">
        <f t="shared" si="5"/>
        <v>-999</v>
      </c>
      <c r="N15" s="207">
        <f>IF('Picks importieren'!N16="",-999,'Picks importieren'!N16+'Picks importieren'!$S$2)</f>
        <v>-999</v>
      </c>
      <c r="O15" s="142">
        <f t="shared" si="6"/>
        <v>-999</v>
      </c>
      <c r="P15" s="207">
        <f>IF('Picks importieren'!P16="",-999,'Picks importieren'!P16+'Picks importieren'!$S$2)</f>
        <v>-999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</row>
    <row r="16" spans="1:44" ht="12.75" x14ac:dyDescent="0.2">
      <c r="A16" s="57">
        <v>14</v>
      </c>
      <c r="B16" s="57">
        <f>'Picks importieren'!B17</f>
        <v>55</v>
      </c>
      <c r="C16" s="142">
        <f t="shared" si="3"/>
        <v>41.285015441440734</v>
      </c>
      <c r="D16" s="214">
        <f>'Picks importieren'!D17+'Picks importieren'!$S$2</f>
        <v>43.682899999999997</v>
      </c>
      <c r="E16" s="142">
        <f t="shared" si="4"/>
        <v>140.00914255862008</v>
      </c>
      <c r="F16" s="214">
        <f>'Picks importieren'!F17+'Picks importieren'!$S$2</f>
        <v>84.770899999999997</v>
      </c>
      <c r="G16" s="142">
        <f t="shared" si="0"/>
        <v>57.528167014081021</v>
      </c>
      <c r="H16" s="214">
        <f>'Picks importieren'!H17+'Picks importieren'!$S$2</f>
        <v>54.354100000000003</v>
      </c>
      <c r="I16" s="142">
        <f t="shared" si="1"/>
        <v>-999</v>
      </c>
      <c r="J16" s="207">
        <f>IF('Picks importieren'!J17="",-999,'Picks importieren'!J17+'Picks importieren'!$S$2)</f>
        <v>-999</v>
      </c>
      <c r="K16" s="142">
        <f t="shared" si="2"/>
        <v>-999</v>
      </c>
      <c r="L16" s="207">
        <f>IF('Picks importieren'!L17="",-999,'Picks importieren'!L17+'Picks importieren'!$S$2)</f>
        <v>-999</v>
      </c>
      <c r="M16" s="142">
        <f t="shared" si="5"/>
        <v>-999</v>
      </c>
      <c r="N16" s="207">
        <f>IF('Picks importieren'!N17="",-999,'Picks importieren'!N17+'Picks importieren'!$S$2)</f>
        <v>-999</v>
      </c>
      <c r="O16" s="142">
        <f t="shared" si="6"/>
        <v>-999</v>
      </c>
      <c r="P16" s="207">
        <f>IF('Picks importieren'!P17="",-999,'Picks importieren'!P17+'Picks importieren'!$S$2)</f>
        <v>-999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</row>
    <row r="17" spans="1:44" ht="12.75" x14ac:dyDescent="0.2">
      <c r="A17" s="57">
        <v>15</v>
      </c>
      <c r="B17" s="57">
        <f>'Picks importieren'!B18</f>
        <v>60</v>
      </c>
      <c r="C17" s="142">
        <f t="shared" si="3"/>
        <v>36.289840176005185</v>
      </c>
      <c r="D17" s="214">
        <f>'Picks importieren'!D18+'Picks importieren'!$S$2</f>
        <v>41.102200000000003</v>
      </c>
      <c r="E17" s="142">
        <f t="shared" si="4"/>
        <v>135.00948114854751</v>
      </c>
      <c r="F17" s="214">
        <f>'Picks importieren'!F18+'Picks importieren'!$S$2</f>
        <v>83.34</v>
      </c>
      <c r="G17" s="142">
        <f t="shared" si="0"/>
        <v>62.525914627456672</v>
      </c>
      <c r="H17" s="214">
        <f>'Picks importieren'!H18+'Picks importieren'!$S$2</f>
        <v>57.583300000000001</v>
      </c>
      <c r="I17" s="142">
        <f t="shared" si="1"/>
        <v>-999</v>
      </c>
      <c r="J17" s="207">
        <f>IF('Picks importieren'!J18="",-999,'Picks importieren'!J18+'Picks importieren'!$S$2)</f>
        <v>-999</v>
      </c>
      <c r="K17" s="142">
        <f t="shared" si="2"/>
        <v>-999</v>
      </c>
      <c r="L17" s="207">
        <f>IF('Picks importieren'!L18="",-999,'Picks importieren'!L18+'Picks importieren'!$S$2)</f>
        <v>-999</v>
      </c>
      <c r="M17" s="142">
        <f t="shared" si="5"/>
        <v>-999</v>
      </c>
      <c r="N17" s="207">
        <f>IF('Picks importieren'!N18="",-999,'Picks importieren'!N18+'Picks importieren'!$S$2)</f>
        <v>-999</v>
      </c>
      <c r="O17" s="142">
        <f t="shared" si="6"/>
        <v>-999</v>
      </c>
      <c r="P17" s="207">
        <f>IF('Picks importieren'!P18="",-999,'Picks importieren'!P18+'Picks importieren'!$S$2)</f>
        <v>-999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</row>
    <row r="18" spans="1:44" ht="12.75" x14ac:dyDescent="0.2">
      <c r="A18" s="57">
        <v>16</v>
      </c>
      <c r="B18" s="57">
        <f>'Picks importieren'!B19</f>
        <v>65</v>
      </c>
      <c r="C18" s="142">
        <f t="shared" si="3"/>
        <v>31.296205840325118</v>
      </c>
      <c r="D18" s="214">
        <f>'Picks importieren'!D19+'Picks importieren'!$S$2</f>
        <v>38.076000000000001</v>
      </c>
      <c r="E18" s="142">
        <f t="shared" si="4"/>
        <v>130.0098457810023</v>
      </c>
      <c r="F18" s="214">
        <f>'Picks importieren'!F19+'Picks importieren'!$S$2</f>
        <v>81.500200000000007</v>
      </c>
      <c r="G18" s="142">
        <f t="shared" si="0"/>
        <v>67.523995734849692</v>
      </c>
      <c r="H18" s="214">
        <f>'Picks importieren'!H19+'Picks importieren'!$S$2</f>
        <v>60.036299999999997</v>
      </c>
      <c r="I18" s="142">
        <f t="shared" si="1"/>
        <v>-999</v>
      </c>
      <c r="J18" s="207">
        <f>IF('Picks importieren'!J19="",-999,'Picks importieren'!J19+'Picks importieren'!$S$2)</f>
        <v>-999</v>
      </c>
      <c r="K18" s="142">
        <f t="shared" si="2"/>
        <v>-999</v>
      </c>
      <c r="L18" s="207">
        <f>IF('Picks importieren'!L19="",-999,'Picks importieren'!L19+'Picks importieren'!$S$2)</f>
        <v>-999</v>
      </c>
      <c r="M18" s="142">
        <f t="shared" si="5"/>
        <v>-999</v>
      </c>
      <c r="N18" s="207">
        <f>IF('Picks importieren'!N19="",-999,'Picks importieren'!N19+'Picks importieren'!$S$2)</f>
        <v>-999</v>
      </c>
      <c r="O18" s="142">
        <f t="shared" si="6"/>
        <v>-999</v>
      </c>
      <c r="P18" s="207">
        <f>IF('Picks importieren'!P19="",-999,'Picks importieren'!P19+'Picks importieren'!$S$2)</f>
        <v>-999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</row>
    <row r="19" spans="1:44" ht="12.75" x14ac:dyDescent="0.2">
      <c r="A19" s="57">
        <v>17</v>
      </c>
      <c r="B19" s="57">
        <f>'Picks importieren'!B20</f>
        <v>70</v>
      </c>
      <c r="C19" s="142">
        <f t="shared" si="3"/>
        <v>26.304990020906679</v>
      </c>
      <c r="D19" s="214">
        <f>'Picks importieren'!D20+'Picks importieren'!$S$2</f>
        <v>35.0518</v>
      </c>
      <c r="E19" s="142">
        <f t="shared" si="4"/>
        <v>125.01023958060395</v>
      </c>
      <c r="F19" s="214">
        <f>'Picks importieren'!F20+'Picks importieren'!$S$2</f>
        <v>80.069299999999998</v>
      </c>
      <c r="G19" s="142">
        <f t="shared" si="0"/>
        <v>72.522341385258656</v>
      </c>
      <c r="H19" s="214">
        <f>'Picks importieren'!H20+'Picks importieren'!$S$2</f>
        <v>62.898200000000003</v>
      </c>
      <c r="I19" s="142">
        <f t="shared" si="1"/>
        <v>-999</v>
      </c>
      <c r="J19" s="207">
        <f>IF('Picks importieren'!J20="",-999,'Picks importieren'!J20+'Picks importieren'!$S$2)</f>
        <v>-999</v>
      </c>
      <c r="K19" s="142">
        <f t="shared" si="2"/>
        <v>-999</v>
      </c>
      <c r="L19" s="207">
        <f>IF('Picks importieren'!L20="",-999,'Picks importieren'!L20+'Picks importieren'!$S$2)</f>
        <v>-999</v>
      </c>
      <c r="M19" s="142">
        <f t="shared" si="5"/>
        <v>-999</v>
      </c>
      <c r="N19" s="207">
        <f>IF('Picks importieren'!N20="",-999,'Picks importieren'!N20+'Picks importieren'!$S$2)</f>
        <v>-999</v>
      </c>
      <c r="O19" s="142">
        <f t="shared" si="6"/>
        <v>-999</v>
      </c>
      <c r="P19" s="207">
        <f>IF('Picks importieren'!P20="",-999,'Picks importieren'!P20+'Picks importieren'!$S$2)</f>
        <v>-999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</row>
    <row r="20" spans="1:44" ht="12.75" x14ac:dyDescent="0.2">
      <c r="A20" s="57">
        <v>18</v>
      </c>
      <c r="B20" s="57">
        <f>'Picks importieren'!B21</f>
        <v>75</v>
      </c>
      <c r="C20" s="142">
        <f t="shared" si="3"/>
        <v>21.31789154677357</v>
      </c>
      <c r="D20" s="214">
        <f>'Picks importieren'!D21+'Picks importieren'!$S$2</f>
        <v>32.031100000000002</v>
      </c>
      <c r="E20" s="142">
        <f t="shared" si="4"/>
        <v>120.01066619263473</v>
      </c>
      <c r="F20" s="214">
        <f>'Picks importieren'!F21+'Picks importieren'!$S$2</f>
        <v>78.433899999999994</v>
      </c>
      <c r="G20" s="142">
        <f t="shared" si="0"/>
        <v>77.52090040756751</v>
      </c>
      <c r="H20" s="214">
        <f>'Picks importieren'!H21+'Picks importieren'!$S$2</f>
        <v>65.749600000000001</v>
      </c>
      <c r="I20" s="142">
        <f t="shared" si="1"/>
        <v>-999</v>
      </c>
      <c r="J20" s="207">
        <f>IF('Picks importieren'!J21="",-999,'Picks importieren'!J21+'Picks importieren'!$S$2)</f>
        <v>-999</v>
      </c>
      <c r="K20" s="142">
        <f t="shared" si="2"/>
        <v>-999</v>
      </c>
      <c r="L20" s="207">
        <f>IF('Picks importieren'!L21="",-999,'Picks importieren'!L21+'Picks importieren'!$S$2)</f>
        <v>-999</v>
      </c>
      <c r="M20" s="142">
        <f t="shared" si="5"/>
        <v>-999</v>
      </c>
      <c r="N20" s="207">
        <f>IF('Picks importieren'!N21="",-999,'Picks importieren'!N21+'Picks importieren'!$S$2)</f>
        <v>-999</v>
      </c>
      <c r="O20" s="142">
        <f t="shared" si="6"/>
        <v>-999</v>
      </c>
      <c r="P20" s="207">
        <f>IF('Picks importieren'!P21="",-999,'Picks importieren'!P21+'Picks importieren'!$S$2)</f>
        <v>-999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</row>
    <row r="21" spans="1:44" ht="12.75" x14ac:dyDescent="0.2">
      <c r="A21" s="57">
        <v>19</v>
      </c>
      <c r="B21" s="57">
        <f>'Picks importieren'!B22</f>
        <v>80</v>
      </c>
      <c r="C21" s="142">
        <f t="shared" si="3"/>
        <v>16.338681097322389</v>
      </c>
      <c r="D21" s="214">
        <f>'Picks importieren'!D22+'Picks importieren'!$S$2</f>
        <v>28.760400000000001</v>
      </c>
      <c r="E21" s="142">
        <f t="shared" si="4"/>
        <v>115.01112989619743</v>
      </c>
      <c r="F21" s="214">
        <f>'Picks importieren'!F22+'Picks importieren'!$S$2</f>
        <v>76.798599999999993</v>
      </c>
      <c r="G21" s="142">
        <f t="shared" si="0"/>
        <v>82.519634027302857</v>
      </c>
      <c r="H21" s="214">
        <f>'Picks importieren'!H22+'Picks importieren'!$S$2</f>
        <v>67.395399999999995</v>
      </c>
      <c r="I21" s="142">
        <f t="shared" si="1"/>
        <v>-999</v>
      </c>
      <c r="J21" s="207">
        <f>IF('Picks importieren'!J22="",-999,'Picks importieren'!J22+'Picks importieren'!$S$2)</f>
        <v>-999</v>
      </c>
      <c r="K21" s="142">
        <f t="shared" si="2"/>
        <v>-999</v>
      </c>
      <c r="L21" s="207">
        <f>IF('Picks importieren'!L22="",-999,'Picks importieren'!L22+'Picks importieren'!$S$2)</f>
        <v>-999</v>
      </c>
      <c r="M21" s="142">
        <f t="shared" si="5"/>
        <v>-999</v>
      </c>
      <c r="N21" s="207">
        <f>IF('Picks importieren'!N22="",-999,'Picks importieren'!N22+'Picks importieren'!$S$2)</f>
        <v>-999</v>
      </c>
      <c r="O21" s="142">
        <f t="shared" si="6"/>
        <v>-999</v>
      </c>
      <c r="P21" s="207">
        <f>IF('Picks importieren'!P22="",-999,'Picks importieren'!P22+'Picks importieren'!$S$2)</f>
        <v>-999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</row>
    <row r="22" spans="1:44" ht="12.75" x14ac:dyDescent="0.2">
      <c r="A22" s="57">
        <v>20</v>
      </c>
      <c r="B22" s="57">
        <f>'Picks importieren'!B23</f>
        <v>85</v>
      </c>
      <c r="C22" s="142">
        <f t="shared" si="3"/>
        <v>11.377719455145657</v>
      </c>
      <c r="D22" s="214">
        <f>'Picks importieren'!D23+'Picks importieren'!$S$2</f>
        <v>22.3718</v>
      </c>
      <c r="E22" s="142">
        <f t="shared" si="4"/>
        <v>110.01163574822438</v>
      </c>
      <c r="F22" s="214">
        <f>'Picks importieren'!F23+'Picks importieren'!$S$2</f>
        <v>75.572100000000006</v>
      </c>
      <c r="G22" s="142">
        <f t="shared" si="0"/>
        <v>87.51851232739277</v>
      </c>
      <c r="H22" s="214">
        <f>'Picks importieren'!H23+'Picks importieren'!$S$2</f>
        <v>69.030699999999996</v>
      </c>
      <c r="I22" s="142">
        <f t="shared" si="1"/>
        <v>-999</v>
      </c>
      <c r="J22" s="207">
        <f>IF('Picks importieren'!J23="",-999,'Picks importieren'!J23+'Picks importieren'!$S$2)</f>
        <v>-999</v>
      </c>
      <c r="K22" s="142">
        <f t="shared" si="2"/>
        <v>-999</v>
      </c>
      <c r="L22" s="207">
        <f>IF('Picks importieren'!L23="",-999,'Picks importieren'!L23+'Picks importieren'!$S$2)</f>
        <v>-999</v>
      </c>
      <c r="M22" s="142">
        <f t="shared" si="5"/>
        <v>-999</v>
      </c>
      <c r="N22" s="207">
        <f>IF('Picks importieren'!N23="",-999,'Picks importieren'!N23+'Picks importieren'!$S$2)</f>
        <v>-999</v>
      </c>
      <c r="O22" s="142">
        <f t="shared" si="6"/>
        <v>-999</v>
      </c>
      <c r="P22" s="207">
        <f>IF('Picks importieren'!P23="",-999,'Picks importieren'!P23+'Picks importieren'!$S$2)</f>
        <v>-999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</row>
    <row r="23" spans="1:44" ht="12.75" x14ac:dyDescent="0.2">
      <c r="A23" s="57">
        <v>21</v>
      </c>
      <c r="B23" s="57">
        <f>'Picks importieren'!B24</f>
        <v>87.5</v>
      </c>
      <c r="C23" s="142">
        <f t="shared" si="3"/>
        <v>8.9136131843377626</v>
      </c>
      <c r="D23" s="214">
        <f>'Picks importieren'!D24+'Picks importieren'!$S$2</f>
        <v>17.312999999999999</v>
      </c>
      <c r="E23" s="142">
        <f t="shared" si="4"/>
        <v>107.51190631739351</v>
      </c>
      <c r="F23" s="214">
        <f>'Picks importieren'!F24+'Picks importieren'!$S$2</f>
        <v>74.754400000000004</v>
      </c>
      <c r="G23" s="142">
        <f t="shared" si="0"/>
        <v>90.017998200359912</v>
      </c>
      <c r="H23" s="214">
        <f>'Picks importieren'!H24+'Picks importieren'!$S$2</f>
        <v>70.743099999999998</v>
      </c>
      <c r="I23" s="142">
        <f t="shared" si="1"/>
        <v>-999</v>
      </c>
      <c r="J23" s="207">
        <f>IF('Picks importieren'!J24="",-999,'Picks importieren'!J24+'Picks importieren'!$S$2)</f>
        <v>-999</v>
      </c>
      <c r="K23" s="142">
        <f t="shared" si="2"/>
        <v>-999</v>
      </c>
      <c r="L23" s="207">
        <f>IF('Picks importieren'!L24="",-999,'Picks importieren'!L24+'Picks importieren'!$S$2)</f>
        <v>-999</v>
      </c>
      <c r="M23" s="142">
        <f t="shared" si="5"/>
        <v>-999</v>
      </c>
      <c r="N23" s="207">
        <f>IF('Picks importieren'!N24="",-999,'Picks importieren'!N24+'Picks importieren'!$S$2)</f>
        <v>-999</v>
      </c>
      <c r="O23" s="142">
        <f t="shared" si="6"/>
        <v>-999</v>
      </c>
      <c r="P23" s="207">
        <f>IF('Picks importieren'!P24="",-999,'Picks importieren'!P24+'Picks importieren'!$S$2)</f>
        <v>-999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</row>
    <row r="24" spans="1:44" ht="12.75" x14ac:dyDescent="0.2">
      <c r="A24" s="57">
        <v>22</v>
      </c>
      <c r="B24" s="57">
        <f>'Picks importieren'!B25</f>
        <v>90</v>
      </c>
      <c r="C24" s="142">
        <f t="shared" si="3"/>
        <v>6.4770749571083401</v>
      </c>
      <c r="D24" s="214">
        <f>'Picks importieren'!D25+'Picks importieren'!$S$2</f>
        <v>13.2247</v>
      </c>
      <c r="E24" s="142">
        <f t="shared" si="4"/>
        <v>105.01218976861686</v>
      </c>
      <c r="F24" s="214">
        <f>'Picks importieren'!F25+'Picks importieren'!$S$2</f>
        <v>74.396600000000007</v>
      </c>
      <c r="G24" s="142">
        <f t="shared" si="0"/>
        <v>92.517511855864342</v>
      </c>
      <c r="H24" s="214">
        <f>'Picks importieren'!H25+'Picks importieren'!$S$2</f>
        <v>71.0749</v>
      </c>
      <c r="I24" s="142">
        <f t="shared" si="1"/>
        <v>-999</v>
      </c>
      <c r="J24" s="207">
        <f>IF('Picks importieren'!J25="",-999,'Picks importieren'!J25+'Picks importieren'!$S$2)</f>
        <v>-999</v>
      </c>
      <c r="K24" s="142">
        <f t="shared" si="2"/>
        <v>-999</v>
      </c>
      <c r="L24" s="207">
        <f>IF('Picks importieren'!L25="",-999,'Picks importieren'!L25+'Picks importieren'!$S$2)</f>
        <v>-999</v>
      </c>
      <c r="M24" s="142">
        <f t="shared" si="5"/>
        <v>-999</v>
      </c>
      <c r="N24" s="207">
        <f>IF('Picks importieren'!N25="",-999,'Picks importieren'!N25+'Picks importieren'!$S$2)</f>
        <v>-999</v>
      </c>
      <c r="O24" s="142">
        <f t="shared" si="6"/>
        <v>-999</v>
      </c>
      <c r="P24" s="207">
        <f>IF('Picks importieren'!P25="",-999,'Picks importieren'!P25+'Picks importieren'!$S$2)</f>
        <v>-999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</row>
    <row r="25" spans="1:44" ht="12.75" x14ac:dyDescent="0.2">
      <c r="A25" s="57">
        <v>23</v>
      </c>
      <c r="B25" s="57">
        <f>'Picks importieren'!B26</f>
        <v>92.5</v>
      </c>
      <c r="C25" s="142">
        <f t="shared" si="3"/>
        <v>4.1173413752080359</v>
      </c>
      <c r="D25" s="214">
        <f>'Picks importieren'!D26+'Picks importieren'!$S$2</f>
        <v>8.1142099999999999</v>
      </c>
      <c r="E25" s="142">
        <f t="shared" si="4"/>
        <v>102.51248704426207</v>
      </c>
      <c r="F25" s="214">
        <f>'Picks importieren'!F26+'Picks importieren'!$S$2</f>
        <v>73.502300000000005</v>
      </c>
      <c r="G25" s="142">
        <f t="shared" si="0"/>
        <v>95.017051101368111</v>
      </c>
      <c r="H25" s="214">
        <f>'Picks importieren'!H26+'Picks importieren'!$S$2</f>
        <v>70.999200000000002</v>
      </c>
      <c r="I25" s="142">
        <f t="shared" si="1"/>
        <v>-999</v>
      </c>
      <c r="J25" s="207">
        <f>IF('Picks importieren'!J26="",-999,'Picks importieren'!J26+'Picks importieren'!$S$2)</f>
        <v>-999</v>
      </c>
      <c r="K25" s="142">
        <f t="shared" si="2"/>
        <v>-999</v>
      </c>
      <c r="L25" s="207">
        <f>IF('Picks importieren'!L26="",-999,'Picks importieren'!L26+'Picks importieren'!$S$2)</f>
        <v>-999</v>
      </c>
      <c r="M25" s="142">
        <f t="shared" si="5"/>
        <v>-999</v>
      </c>
      <c r="N25" s="207">
        <f>IF('Picks importieren'!N26="",-999,'Picks importieren'!N26+'Picks importieren'!$S$2)</f>
        <v>-999</v>
      </c>
      <c r="O25" s="142">
        <f t="shared" si="6"/>
        <v>-999</v>
      </c>
      <c r="P25" s="207">
        <f>IF('Picks importieren'!P26="",-999,'Picks importieren'!P26+'Picks importieren'!$S$2)</f>
        <v>-999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1:44" ht="12.75" x14ac:dyDescent="0.2">
      <c r="A26" s="57">
        <v>24</v>
      </c>
      <c r="B26" s="57">
        <f>'Picks importieren'!B27</f>
        <v>95</v>
      </c>
      <c r="C26" s="142">
        <f t="shared" si="3"/>
        <v>2.110094784600919</v>
      </c>
      <c r="D26" s="214">
        <f>'Picks importieren'!D27+'Picks importieren'!$S$2</f>
        <v>3.20818</v>
      </c>
      <c r="E26" s="142">
        <f t="shared" si="4"/>
        <v>100.01279918090484</v>
      </c>
      <c r="F26" s="214">
        <f>'Picks importieren'!F27+'Picks importieren'!$S$2</f>
        <v>72.607900000000001</v>
      </c>
      <c r="G26" s="142">
        <f t="shared" si="0"/>
        <v>97.516613969107851</v>
      </c>
      <c r="H26" s="214">
        <f>'Picks importieren'!H27+'Picks importieren'!$S$2</f>
        <v>71.255200000000002</v>
      </c>
      <c r="I26" s="142">
        <f t="shared" si="1"/>
        <v>-999</v>
      </c>
      <c r="J26" s="207">
        <f>IF('Picks importieren'!J27="",-999,'Picks importieren'!J27+'Picks importieren'!$S$2)</f>
        <v>-999</v>
      </c>
      <c r="K26" s="142">
        <f t="shared" si="2"/>
        <v>-999</v>
      </c>
      <c r="L26" s="207">
        <f>IF('Picks importieren'!L27="",-999,'Picks importieren'!L27+'Picks importieren'!$S$2)</f>
        <v>-999</v>
      </c>
      <c r="M26" s="142">
        <f t="shared" si="5"/>
        <v>-999</v>
      </c>
      <c r="N26" s="207">
        <f>IF('Picks importieren'!N27="",-999,'Picks importieren'!N27+'Picks importieren'!$S$2)</f>
        <v>-999</v>
      </c>
      <c r="O26" s="142">
        <f t="shared" si="6"/>
        <v>-999</v>
      </c>
      <c r="P26" s="207">
        <f>IF('Picks importieren'!P27="",-999,'Picks importieren'!P27+'Picks importieren'!$S$2)</f>
        <v>-999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</row>
    <row r="27" spans="1:44" ht="12.75" x14ac:dyDescent="0.2">
      <c r="A27" s="57">
        <v>25</v>
      </c>
      <c r="B27" s="57">
        <f>'Picks importieren'!B28</f>
        <v>97.5</v>
      </c>
      <c r="C27" s="142">
        <f t="shared" si="3"/>
        <v>2.110094784600919</v>
      </c>
      <c r="D27" s="214">
        <f>'Picks importieren'!D28+'Picks importieren'!$S$2</f>
        <v>4.0258599999999998</v>
      </c>
      <c r="E27" s="142">
        <f t="shared" si="4"/>
        <v>97.513127321402223</v>
      </c>
      <c r="F27" s="214">
        <f>'Picks importieren'!F28+'Picks importieren'!$S$2</f>
        <v>71.7136</v>
      </c>
      <c r="G27" s="142">
        <f t="shared" si="0"/>
        <v>100.01619868801254</v>
      </c>
      <c r="H27" s="214">
        <f>'Picks importieren'!H28+'Picks importieren'!$S$2</f>
        <v>72.279499999999999</v>
      </c>
      <c r="I27" s="142">
        <f t="shared" si="1"/>
        <v>-999</v>
      </c>
      <c r="J27" s="207">
        <f>IF('Picks importieren'!J28="",-999,'Picks importieren'!J28+'Picks importieren'!$S$2)</f>
        <v>-999</v>
      </c>
      <c r="K27" s="142">
        <f t="shared" si="2"/>
        <v>-999</v>
      </c>
      <c r="L27" s="207">
        <f>IF('Picks importieren'!L28="",-999,'Picks importieren'!L28+'Picks importieren'!$S$2)</f>
        <v>-999</v>
      </c>
      <c r="M27" s="142">
        <f t="shared" si="5"/>
        <v>-999</v>
      </c>
      <c r="N27" s="207">
        <f>IF('Picks importieren'!N28="",-999,'Picks importieren'!N28+'Picks importieren'!$S$2)</f>
        <v>-999</v>
      </c>
      <c r="O27" s="142">
        <f t="shared" si="6"/>
        <v>-999</v>
      </c>
      <c r="P27" s="207">
        <f>IF('Picks importieren'!P28="",-999,'Picks importieren'!P28+'Picks importieren'!$S$2)</f>
        <v>-999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</row>
    <row r="28" spans="1:44" ht="12.75" x14ac:dyDescent="0.2">
      <c r="A28" s="57">
        <v>26</v>
      </c>
      <c r="B28" s="57">
        <f>'Picks importieren'!B29</f>
        <v>100</v>
      </c>
      <c r="C28" s="142">
        <f t="shared" si="3"/>
        <v>4.1173413752080359</v>
      </c>
      <c r="D28" s="214">
        <f>'Picks importieren'!D29+'Picks importieren'!$S$2</f>
        <v>9.1363000000000003</v>
      </c>
      <c r="E28" s="142">
        <f t="shared" si="4"/>
        <v>95.013472728871449</v>
      </c>
      <c r="F28" s="214">
        <f>'Picks importieren'!F29+'Picks importieren'!$S$2</f>
        <v>70.819299999999998</v>
      </c>
      <c r="G28" s="142">
        <f t="shared" si="0"/>
        <v>102.51580365972848</v>
      </c>
      <c r="H28" s="214">
        <f>'Picks importieren'!H29+'Picks importieren'!$S$2</f>
        <v>73.431899999999999</v>
      </c>
      <c r="I28" s="142">
        <f t="shared" si="1"/>
        <v>-999</v>
      </c>
      <c r="J28" s="207">
        <f>IF('Picks importieren'!J29="",-999,'Picks importieren'!J29+'Picks importieren'!$S$2)</f>
        <v>-999</v>
      </c>
      <c r="K28" s="142">
        <f t="shared" si="2"/>
        <v>-999</v>
      </c>
      <c r="L28" s="207">
        <f>IF('Picks importieren'!L29="",-999,'Picks importieren'!L29+'Picks importieren'!$S$2)</f>
        <v>-999</v>
      </c>
      <c r="M28" s="142">
        <f t="shared" si="5"/>
        <v>-999</v>
      </c>
      <c r="N28" s="207">
        <f>IF('Picks importieren'!N29="",-999,'Picks importieren'!N29+'Picks importieren'!$S$2)</f>
        <v>-999</v>
      </c>
      <c r="O28" s="142">
        <f t="shared" si="6"/>
        <v>-999</v>
      </c>
      <c r="P28" s="207">
        <f>IF('Picks importieren'!P29="",-999,'Picks importieren'!P29+'Picks importieren'!$S$2)</f>
        <v>-999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</row>
    <row r="29" spans="1:44" ht="12.75" x14ac:dyDescent="0.2">
      <c r="A29" s="57">
        <v>27</v>
      </c>
      <c r="B29" s="57">
        <f>'Picks importieren'!B30</f>
        <v>102.5</v>
      </c>
      <c r="C29" s="142">
        <f t="shared" si="3"/>
        <v>6.4770749571083401</v>
      </c>
      <c r="D29" s="214">
        <f>'Picks importieren'!D30+'Picks importieren'!$S$2</f>
        <v>13.837899999999999</v>
      </c>
      <c r="E29" s="142">
        <f t="shared" si="4"/>
        <v>92.513836802934506</v>
      </c>
      <c r="F29" s="214">
        <f>'Picks importieren'!F30+'Picks importieren'!$S$2</f>
        <v>70.461600000000004</v>
      </c>
      <c r="G29" s="142">
        <f t="shared" si="0"/>
        <v>105.01542743806741</v>
      </c>
      <c r="H29" s="214">
        <f>'Picks importieren'!H30+'Picks importieren'!$S$2</f>
        <v>74.456199999999995</v>
      </c>
      <c r="I29" s="142">
        <f t="shared" si="1"/>
        <v>-999</v>
      </c>
      <c r="J29" s="207">
        <f>IF('Picks importieren'!J30="",-999,'Picks importieren'!J30+'Picks importieren'!$S$2)</f>
        <v>-999</v>
      </c>
      <c r="K29" s="142">
        <f t="shared" si="2"/>
        <v>-999</v>
      </c>
      <c r="L29" s="207">
        <f>IF('Picks importieren'!L30="",-999,'Picks importieren'!L30+'Picks importieren'!$S$2)</f>
        <v>-999</v>
      </c>
      <c r="M29" s="142">
        <f t="shared" si="5"/>
        <v>-999</v>
      </c>
      <c r="N29" s="207">
        <f>IF('Picks importieren'!N30="",-999,'Picks importieren'!N30+'Picks importieren'!$S$2)</f>
        <v>-999</v>
      </c>
      <c r="O29" s="142">
        <f t="shared" si="6"/>
        <v>-999</v>
      </c>
      <c r="P29" s="207">
        <f>IF('Picks importieren'!P30="",-999,'Picks importieren'!P30+'Picks importieren'!$S$2)</f>
        <v>-999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</row>
    <row r="30" spans="1:44" ht="12.75" x14ac:dyDescent="0.2">
      <c r="A30" s="57">
        <v>28</v>
      </c>
      <c r="B30" s="57">
        <f>'Picks importieren'!B31</f>
        <v>105</v>
      </c>
      <c r="C30" s="142">
        <f t="shared" si="3"/>
        <v>8.9136131843377626</v>
      </c>
      <c r="D30" s="214">
        <f>'Picks importieren'!D31+'Picks importieren'!$S$2</f>
        <v>17.6784</v>
      </c>
      <c r="E30" s="142">
        <f t="shared" si="4"/>
        <v>90.014221098668628</v>
      </c>
      <c r="F30" s="214">
        <f>'Picks importieren'!F31+'Picks importieren'!$S$2</f>
        <v>69.644000000000005</v>
      </c>
      <c r="G30" s="142">
        <f t="shared" si="0"/>
        <v>107.51506871132065</v>
      </c>
      <c r="H30" s="214">
        <f>'Picks importieren'!H31+'Picks importieren'!$S$2</f>
        <v>75.352500000000006</v>
      </c>
      <c r="I30" s="142">
        <f t="shared" si="1"/>
        <v>-999</v>
      </c>
      <c r="J30" s="207">
        <f>IF('Picks importieren'!J31="",-999,'Picks importieren'!J31+'Picks importieren'!$S$2)</f>
        <v>-999</v>
      </c>
      <c r="K30" s="142">
        <f t="shared" si="2"/>
        <v>-999</v>
      </c>
      <c r="L30" s="207">
        <f>IF('Picks importieren'!L31="",-999,'Picks importieren'!L31+'Picks importieren'!$S$2)</f>
        <v>-999</v>
      </c>
      <c r="M30" s="142">
        <f t="shared" si="5"/>
        <v>-999</v>
      </c>
      <c r="N30" s="207">
        <f>IF('Picks importieren'!N31="",-999,'Picks importieren'!N31+'Picks importieren'!$S$2)</f>
        <v>-999</v>
      </c>
      <c r="O30" s="142">
        <f t="shared" si="6"/>
        <v>-999</v>
      </c>
      <c r="P30" s="207">
        <f>IF('Picks importieren'!P31="",-999,'Picks importieren'!P31+'Picks importieren'!$S$2)</f>
        <v>-999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</row>
    <row r="31" spans="1:44" ht="12.75" x14ac:dyDescent="0.2">
      <c r="A31" s="57">
        <v>29</v>
      </c>
      <c r="B31" s="57">
        <f>'Picks importieren'!B32</f>
        <v>107.5</v>
      </c>
      <c r="C31" s="142">
        <f t="shared" si="3"/>
        <v>11.377719455145657</v>
      </c>
      <c r="D31" s="214">
        <f>'Picks importieren'!D32+'Picks importieren'!$S$2</f>
        <v>22.219000000000001</v>
      </c>
      <c r="E31" s="142">
        <f t="shared" si="4"/>
        <v>87.514627348803813</v>
      </c>
      <c r="F31" s="214">
        <f>'Picks importieren'!F32+'Picks importieren'!$S$2</f>
        <v>68.621899999999997</v>
      </c>
      <c r="G31" s="142">
        <f t="shared" si="0"/>
        <v>110.01472628698396</v>
      </c>
      <c r="H31" s="214">
        <f>'Picks importieren'!H32+'Picks importieren'!$S$2</f>
        <v>75.736599999999996</v>
      </c>
      <c r="I31" s="142">
        <f t="shared" si="1"/>
        <v>-999</v>
      </c>
      <c r="J31" s="207">
        <f>IF('Picks importieren'!J32="",-999,'Picks importieren'!J32+'Picks importieren'!$S$2)</f>
        <v>-999</v>
      </c>
      <c r="K31" s="142">
        <f t="shared" si="2"/>
        <v>-999</v>
      </c>
      <c r="L31" s="207">
        <f>IF('Picks importieren'!L32="",-999,'Picks importieren'!L32+'Picks importieren'!$S$2)</f>
        <v>-999</v>
      </c>
      <c r="M31" s="142">
        <f t="shared" si="5"/>
        <v>-999</v>
      </c>
      <c r="N31" s="207">
        <f>IF('Picks importieren'!N32="",-999,'Picks importieren'!N32+'Picks importieren'!$S$2)</f>
        <v>-999</v>
      </c>
      <c r="O31" s="142">
        <f t="shared" si="6"/>
        <v>-999</v>
      </c>
      <c r="P31" s="207">
        <f>IF('Picks importieren'!P32="",-999,'Picks importieren'!P32+'Picks importieren'!$S$2)</f>
        <v>-999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</row>
    <row r="32" spans="1:44" ht="12.75" x14ac:dyDescent="0.2">
      <c r="A32" s="57">
        <v>30</v>
      </c>
      <c r="B32" s="57">
        <f>'Picks importieren'!B33</f>
        <v>112.5</v>
      </c>
      <c r="C32" s="142">
        <f t="shared" si="3"/>
        <v>16.338681097322389</v>
      </c>
      <c r="D32" s="214">
        <f>'Picks importieren'!D33+'Picks importieren'!$S$2</f>
        <v>29.782499999999999</v>
      </c>
      <c r="E32" s="142">
        <f t="shared" si="4"/>
        <v>82.515513692880816</v>
      </c>
      <c r="F32" s="214">
        <f>'Picks importieren'!F33+'Picks importieren'!$S$2</f>
        <v>66.3733</v>
      </c>
      <c r="G32" s="142">
        <f t="shared" si="0"/>
        <v>115.01408609383461</v>
      </c>
      <c r="H32" s="214">
        <f>'Picks importieren'!H33+'Picks importieren'!$S$2</f>
        <v>76.594200000000001</v>
      </c>
      <c r="I32" s="142">
        <f t="shared" si="1"/>
        <v>-999</v>
      </c>
      <c r="J32" s="207">
        <f>IF('Picks importieren'!J33="",-999,'Picks importieren'!J33+'Picks importieren'!$S$2)</f>
        <v>-999</v>
      </c>
      <c r="K32" s="142">
        <f t="shared" si="2"/>
        <v>-999</v>
      </c>
      <c r="L32" s="207">
        <f>IF('Picks importieren'!L33="",-999,'Picks importieren'!L33+'Picks importieren'!$S$2)</f>
        <v>-999</v>
      </c>
      <c r="M32" s="142">
        <f t="shared" si="5"/>
        <v>-999</v>
      </c>
      <c r="N32" s="207">
        <f>IF('Picks importieren'!N33="",-999,'Picks importieren'!N33+'Picks importieren'!$S$2)</f>
        <v>-999</v>
      </c>
      <c r="O32" s="142">
        <f t="shared" si="6"/>
        <v>-999</v>
      </c>
      <c r="P32" s="207">
        <f>IF('Picks importieren'!P33="",-999,'Picks importieren'!P33+'Picks importieren'!$S$2)</f>
        <v>-999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</row>
    <row r="33" spans="1:44" ht="12.75" x14ac:dyDescent="0.2">
      <c r="A33" s="57">
        <v>31</v>
      </c>
      <c r="B33" s="57">
        <f>'Picks importieren'!B34</f>
        <v>117.5</v>
      </c>
      <c r="C33" s="142">
        <f t="shared" si="3"/>
        <v>21.31789154677357</v>
      </c>
      <c r="D33" s="214">
        <f>'Picks importieren'!D34+'Picks importieren'!$S$2</f>
        <v>33.257599999999996</v>
      </c>
      <c r="E33" s="142">
        <f t="shared" si="4"/>
        <v>77.516514369519996</v>
      </c>
      <c r="F33" s="214">
        <f>'Picks importieren'!F34+'Picks importieren'!$S$2</f>
        <v>63.920299999999997</v>
      </c>
      <c r="G33" s="142">
        <f t="shared" si="0"/>
        <v>120.01349924071042</v>
      </c>
      <c r="H33" s="214">
        <f>'Picks importieren'!H34+'Picks importieren'!$S$2</f>
        <v>77.820700000000002</v>
      </c>
      <c r="I33" s="142">
        <f t="shared" si="1"/>
        <v>-999</v>
      </c>
      <c r="J33" s="207">
        <f>IF('Picks importieren'!J34="",-999,'Picks importieren'!J34+'Picks importieren'!$S$2)</f>
        <v>-999</v>
      </c>
      <c r="K33" s="142">
        <f t="shared" si="2"/>
        <v>-999</v>
      </c>
      <c r="L33" s="207">
        <f>IF('Picks importieren'!L34="",-999,'Picks importieren'!L34+'Picks importieren'!$S$2)</f>
        <v>-999</v>
      </c>
      <c r="M33" s="142">
        <f t="shared" si="5"/>
        <v>-999</v>
      </c>
      <c r="N33" s="207">
        <f>IF('Picks importieren'!N34="",-999,'Picks importieren'!N34+'Picks importieren'!$S$2)</f>
        <v>-999</v>
      </c>
      <c r="O33" s="142">
        <f t="shared" si="6"/>
        <v>-999</v>
      </c>
      <c r="P33" s="207">
        <f>IF('Picks importieren'!P34="",-999,'Picks importieren'!P34+'Picks importieren'!$S$2)</f>
        <v>-999</v>
      </c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</row>
    <row r="34" spans="1:44" ht="12.75" x14ac:dyDescent="0.2">
      <c r="A34" s="57">
        <v>32</v>
      </c>
      <c r="B34" s="57">
        <f>'Picks importieren'!B35</f>
        <v>122.5</v>
      </c>
      <c r="C34" s="142">
        <f t="shared" si="3"/>
        <v>26.304990020906679</v>
      </c>
      <c r="D34" s="214">
        <f>'Picks importieren'!D35+'Picks importieren'!$S$2</f>
        <v>36.451900000000002</v>
      </c>
      <c r="E34" s="142">
        <f t="shared" si="4"/>
        <v>72.517653023246694</v>
      </c>
      <c r="F34" s="214">
        <f>'Picks importieren'!F35+'Picks importieren'!$S$2</f>
        <v>61.671700000000001</v>
      </c>
      <c r="G34" s="142">
        <f t="shared" si="0"/>
        <v>125.01295932822325</v>
      </c>
      <c r="H34" s="214">
        <f>'Picks importieren'!H35+'Picks importieren'!$S$2</f>
        <v>80.069299999999998</v>
      </c>
      <c r="I34" s="142">
        <f t="shared" si="1"/>
        <v>-999</v>
      </c>
      <c r="J34" s="207">
        <f>IF('Picks importieren'!J35="",-999,'Picks importieren'!J35+'Picks importieren'!$S$2)</f>
        <v>-999</v>
      </c>
      <c r="K34" s="142">
        <f t="shared" si="2"/>
        <v>-999</v>
      </c>
      <c r="L34" s="207">
        <f>IF('Picks importieren'!L35="",-999,'Picks importieren'!L35+'Picks importieren'!$S$2)</f>
        <v>-999</v>
      </c>
      <c r="M34" s="142">
        <f t="shared" si="5"/>
        <v>-999</v>
      </c>
      <c r="N34" s="207">
        <f>IF('Picks importieren'!N35="",-999,'Picks importieren'!N35+'Picks importieren'!$S$2)</f>
        <v>-999</v>
      </c>
      <c r="O34" s="142">
        <f t="shared" si="6"/>
        <v>-999</v>
      </c>
      <c r="P34" s="207">
        <f>IF('Picks importieren'!P35="",-999,'Picks importieren'!P35+'Picks importieren'!$S$2)</f>
        <v>-999</v>
      </c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</row>
    <row r="35" spans="1:44" ht="12.75" x14ac:dyDescent="0.2">
      <c r="A35" s="57">
        <v>33</v>
      </c>
      <c r="B35" s="57">
        <f>'Picks importieren'!B36</f>
        <v>127.5</v>
      </c>
      <c r="C35" s="142">
        <f t="shared" si="3"/>
        <v>31.296205840325118</v>
      </c>
      <c r="D35" s="214">
        <f>'Picks importieren'!D36+'Picks importieren'!$S$2</f>
        <v>38.9863</v>
      </c>
      <c r="E35" s="142">
        <f t="shared" si="4"/>
        <v>67.518960300052015</v>
      </c>
      <c r="F35" s="214">
        <f>'Picks importieren'!F36+'Picks importieren'!$S$2</f>
        <v>58.605400000000003</v>
      </c>
      <c r="G35" s="142">
        <f t="shared" si="0"/>
        <v>130.0124609412498</v>
      </c>
      <c r="H35" s="214">
        <f>'Picks importieren'!H36+'Picks importieren'!$S$2</f>
        <v>81.500200000000007</v>
      </c>
      <c r="I35" s="142">
        <f t="shared" ref="I35:I50" si="7">IF(I$1="",-999,SQRT(($B35-I$1)^2+J$1^2))</f>
        <v>-999</v>
      </c>
      <c r="J35" s="207">
        <f>IF('Picks importieren'!J36="",-999,'Picks importieren'!J36+'Picks importieren'!$S$2)</f>
        <v>-999</v>
      </c>
      <c r="K35" s="142">
        <f t="shared" ref="K35:K50" si="8">IF(K$1="",-999,SQRT(($B35-K$1)^2+L$1^2))</f>
        <v>-999</v>
      </c>
      <c r="L35" s="207">
        <f>IF('Picks importieren'!L36="",-999,'Picks importieren'!L36+'Picks importieren'!$S$2)</f>
        <v>-999</v>
      </c>
      <c r="M35" s="142">
        <f t="shared" si="5"/>
        <v>-999</v>
      </c>
      <c r="N35" s="207">
        <f>IF('Picks importieren'!N36="",-999,'Picks importieren'!N36+'Picks importieren'!$S$2)</f>
        <v>-999</v>
      </c>
      <c r="O35" s="142">
        <f t="shared" si="6"/>
        <v>-999</v>
      </c>
      <c r="P35" s="207">
        <f>IF('Picks importieren'!P36="",-999,'Picks importieren'!P36+'Picks importieren'!$S$2)</f>
        <v>-999</v>
      </c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</row>
    <row r="36" spans="1:44" ht="12.75" x14ac:dyDescent="0.2">
      <c r="A36" s="57">
        <v>34</v>
      </c>
      <c r="B36" s="57">
        <f>'Picks importieren'!B37</f>
        <v>132.5</v>
      </c>
      <c r="C36" s="142">
        <f t="shared" si="3"/>
        <v>36.289840176005185</v>
      </c>
      <c r="D36" s="214">
        <f>'Picks importieren'!D37+'Picks importieren'!$S$2</f>
        <v>40.957500000000003</v>
      </c>
      <c r="E36" s="142">
        <f t="shared" si="4"/>
        <v>62.520476645655862</v>
      </c>
      <c r="F36" s="214">
        <f>'Picks importieren'!F37+'Picks importieren'!$S$2</f>
        <v>55.538899999999998</v>
      </c>
      <c r="G36" s="142">
        <f t="shared" si="0"/>
        <v>135.01199946671409</v>
      </c>
      <c r="H36" s="214">
        <f>'Picks importieren'!H37+'Picks importieren'!$S$2</f>
        <v>83.34</v>
      </c>
      <c r="I36" s="142">
        <f t="shared" si="7"/>
        <v>-999</v>
      </c>
      <c r="J36" s="207">
        <f>IF('Picks importieren'!J37="",-999,'Picks importieren'!J37+'Picks importieren'!$S$2)</f>
        <v>-999</v>
      </c>
      <c r="K36" s="142">
        <f t="shared" si="8"/>
        <v>-999</v>
      </c>
      <c r="L36" s="207">
        <f>IF('Picks importieren'!L37="",-999,'Picks importieren'!L37+'Picks importieren'!$S$2)</f>
        <v>-999</v>
      </c>
      <c r="M36" s="142">
        <f t="shared" si="5"/>
        <v>-999</v>
      </c>
      <c r="N36" s="207">
        <f>IF('Picks importieren'!N37="",-999,'Picks importieren'!N37+'Picks importieren'!$S$2)</f>
        <v>-999</v>
      </c>
      <c r="O36" s="142">
        <f t="shared" si="6"/>
        <v>-999</v>
      </c>
      <c r="P36" s="207">
        <f>IF('Picks importieren'!P37="",-999,'Picks importieren'!P37+'Picks importieren'!$S$2)</f>
        <v>-999</v>
      </c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</row>
    <row r="37" spans="1:44" ht="12.75" x14ac:dyDescent="0.2">
      <c r="A37" s="57">
        <v>35</v>
      </c>
      <c r="B37" s="57">
        <f>'Picks importieren'!B38</f>
        <v>137.5</v>
      </c>
      <c r="C37" s="142">
        <f t="shared" si="3"/>
        <v>41.285015441440734</v>
      </c>
      <c r="D37" s="214">
        <f>'Picks importieren'!D38+'Picks importieren'!$S$2</f>
        <v>43.585799999999999</v>
      </c>
      <c r="E37" s="142">
        <f t="shared" si="4"/>
        <v>57.522256562134281</v>
      </c>
      <c r="F37" s="214">
        <f>'Picks importieren'!F38+'Picks importieren'!$S$2</f>
        <v>53.290500000000002</v>
      </c>
      <c r="G37" s="142">
        <f t="shared" si="0"/>
        <v>140.01157095040395</v>
      </c>
      <c r="H37" s="214">
        <f>'Picks importieren'!H38+'Picks importieren'!$S$2</f>
        <v>85.179699999999997</v>
      </c>
      <c r="I37" s="142">
        <f t="shared" si="7"/>
        <v>-999</v>
      </c>
      <c r="J37" s="207">
        <f>IF('Picks importieren'!J38="",-999,'Picks importieren'!J38+'Picks importieren'!$S$2)</f>
        <v>-999</v>
      </c>
      <c r="K37" s="142">
        <f t="shared" si="8"/>
        <v>-999</v>
      </c>
      <c r="L37" s="207">
        <f>IF('Picks importieren'!L38="",-999,'Picks importieren'!L38+'Picks importieren'!$S$2)</f>
        <v>-999</v>
      </c>
      <c r="M37" s="142">
        <f t="shared" si="5"/>
        <v>-999</v>
      </c>
      <c r="N37" s="207">
        <f>IF('Picks importieren'!N38="",-999,'Picks importieren'!N38+'Picks importieren'!$S$2)</f>
        <v>-999</v>
      </c>
      <c r="O37" s="142">
        <f t="shared" si="6"/>
        <v>-999</v>
      </c>
      <c r="P37" s="207">
        <f>IF('Picks importieren'!P38="",-999,'Picks importieren'!P38+'Picks importieren'!$S$2)</f>
        <v>-999</v>
      </c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</row>
    <row r="38" spans="1:44" ht="12.75" x14ac:dyDescent="0.2">
      <c r="A38" s="57">
        <v>36</v>
      </c>
      <c r="B38" s="57">
        <f>'Picks importieren'!B39</f>
        <v>142.5</v>
      </c>
      <c r="C38" s="142">
        <f t="shared" si="3"/>
        <v>46.281232697498453</v>
      </c>
      <c r="D38" s="214">
        <f>'Picks importieren'!D39+'Picks importieren'!$S$2</f>
        <v>46.120199999999997</v>
      </c>
      <c r="E38" s="142">
        <f t="shared" si="4"/>
        <v>52.524375293762418</v>
      </c>
      <c r="F38" s="214">
        <f>'Picks importieren'!F39+'Picks importieren'!$S$2</f>
        <v>50.428699999999999</v>
      </c>
      <c r="G38" s="142">
        <f t="shared" si="0"/>
        <v>145.01117198340273</v>
      </c>
      <c r="H38" s="214">
        <f>'Picks importieren'!H39+'Picks importieren'!$S$2</f>
        <v>87.6327</v>
      </c>
      <c r="I38" s="142">
        <f t="shared" si="7"/>
        <v>-999</v>
      </c>
      <c r="J38" s="207">
        <f>IF('Picks importieren'!J39="",-999,'Picks importieren'!J39+'Picks importieren'!$S$2)</f>
        <v>-999</v>
      </c>
      <c r="K38" s="142">
        <f t="shared" si="8"/>
        <v>-999</v>
      </c>
      <c r="L38" s="207">
        <f>IF('Picks importieren'!L39="",-999,'Picks importieren'!L39+'Picks importieren'!$S$2)</f>
        <v>-999</v>
      </c>
      <c r="M38" s="142">
        <f t="shared" si="5"/>
        <v>-999</v>
      </c>
      <c r="N38" s="207">
        <f>IF('Picks importieren'!N39="",-999,'Picks importieren'!N39+'Picks importieren'!$S$2)</f>
        <v>-999</v>
      </c>
      <c r="O38" s="142">
        <f t="shared" si="6"/>
        <v>-999</v>
      </c>
      <c r="P38" s="207">
        <f>IF('Picks importieren'!P39="",-999,'Picks importieren'!P39+'Picks importieren'!$S$2)</f>
        <v>-999</v>
      </c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</row>
    <row r="39" spans="1:44" ht="12.75" x14ac:dyDescent="0.2">
      <c r="A39" s="57">
        <v>37</v>
      </c>
      <c r="B39" s="57">
        <f>'Picks importieren'!B40</f>
        <v>147.5</v>
      </c>
      <c r="C39" s="142">
        <f t="shared" si="3"/>
        <v>51.278187370459968</v>
      </c>
      <c r="D39" s="214">
        <f>'Picks importieren'!D40+'Picks importieren'!$S$2</f>
        <v>48.180100000000003</v>
      </c>
      <c r="E39" s="142">
        <f t="shared" si="4"/>
        <v>47.526939728957935</v>
      </c>
      <c r="F39" s="214">
        <f>'Picks importieren'!F40+'Picks importieren'!$S$2</f>
        <v>47.158000000000001</v>
      </c>
      <c r="G39" s="142">
        <f t="shared" si="0"/>
        <v>150.01079961122801</v>
      </c>
      <c r="H39" s="214">
        <f>'Picks importieren'!H40+'Picks importieren'!$S$2</f>
        <v>88.245999999999995</v>
      </c>
      <c r="I39" s="142">
        <f t="shared" si="7"/>
        <v>-999</v>
      </c>
      <c r="J39" s="207">
        <f>IF('Picks importieren'!J40="",-999,'Picks importieren'!J40+'Picks importieren'!$S$2)</f>
        <v>-999</v>
      </c>
      <c r="K39" s="142">
        <f t="shared" si="8"/>
        <v>-999</v>
      </c>
      <c r="L39" s="207">
        <f>IF('Picks importieren'!L40="",-999,'Picks importieren'!L40+'Picks importieren'!$S$2)</f>
        <v>-999</v>
      </c>
      <c r="M39" s="142">
        <f t="shared" si="5"/>
        <v>-999</v>
      </c>
      <c r="N39" s="207">
        <f>IF('Picks importieren'!N40="",-999,'Picks importieren'!N40+'Picks importieren'!$S$2)</f>
        <v>-999</v>
      </c>
      <c r="O39" s="142">
        <f t="shared" si="6"/>
        <v>-999</v>
      </c>
      <c r="P39" s="207">
        <f>IF('Picks importieren'!P40="",-999,'Picks importieren'!P40+'Picks importieren'!$S$2)</f>
        <v>-999</v>
      </c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</row>
    <row r="40" spans="1:44" ht="12.75" x14ac:dyDescent="0.2">
      <c r="A40" s="57">
        <v>38</v>
      </c>
      <c r="B40" s="57">
        <f>'Picks importieren'!B41</f>
        <v>152.5</v>
      </c>
      <c r="C40" s="142">
        <f t="shared" si="3"/>
        <v>56.275683025619507</v>
      </c>
      <c r="D40" s="214">
        <f>'Picks importieren'!D41+'Picks importieren'!$S$2</f>
        <v>50.837400000000002</v>
      </c>
      <c r="E40" s="142">
        <f t="shared" si="4"/>
        <v>42.530106983171343</v>
      </c>
      <c r="F40" s="214">
        <f>'Picks importieren'!F41+'Picks importieren'!$S$2</f>
        <v>44.091299999999997</v>
      </c>
      <c r="G40" s="142">
        <f t="shared" si="0"/>
        <v>155.01045126055212</v>
      </c>
      <c r="H40" s="214">
        <f>'Picks importieren'!H41+'Picks importieren'!$S$2</f>
        <v>89.692899999999995</v>
      </c>
      <c r="I40" s="142">
        <f t="shared" si="7"/>
        <v>-999</v>
      </c>
      <c r="J40" s="207">
        <f>IF('Picks importieren'!J41="",-999,'Picks importieren'!J41+'Picks importieren'!$S$2)</f>
        <v>-999</v>
      </c>
      <c r="K40" s="142">
        <f t="shared" si="8"/>
        <v>-999</v>
      </c>
      <c r="L40" s="207">
        <f>IF('Picks importieren'!L41="",-999,'Picks importieren'!L41+'Picks importieren'!$S$2)</f>
        <v>-999</v>
      </c>
      <c r="M40" s="142">
        <f t="shared" si="5"/>
        <v>-999</v>
      </c>
      <c r="N40" s="207">
        <f>IF('Picks importieren'!N41="",-999,'Picks importieren'!N41+'Picks importieren'!$S$2)</f>
        <v>-999</v>
      </c>
      <c r="O40" s="142">
        <f t="shared" si="6"/>
        <v>-999</v>
      </c>
      <c r="P40" s="207">
        <f>IF('Picks importieren'!P41="",-999,'Picks importieren'!P41+'Picks importieren'!$S$2)</f>
        <v>-999</v>
      </c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</row>
    <row r="41" spans="1:44" ht="12.75" x14ac:dyDescent="0.2">
      <c r="A41" s="57">
        <v>39</v>
      </c>
      <c r="B41" s="57">
        <f>'Picks importieren'!B42</f>
        <v>157.5</v>
      </c>
      <c r="C41" s="142">
        <f t="shared" si="3"/>
        <v>61.273587295016441</v>
      </c>
      <c r="D41" s="214">
        <f>'Picks importieren'!D42+'Picks importieren'!$S$2</f>
        <v>53.494999999999997</v>
      </c>
      <c r="E41" s="142">
        <f t="shared" si="4"/>
        <v>37.534117812997813</v>
      </c>
      <c r="F41" s="214">
        <f>'Picks importieren'!F42+'Picks importieren'!$S$2</f>
        <v>41.4343</v>
      </c>
      <c r="G41" s="142">
        <f t="shared" si="0"/>
        <v>160.01012467965896</v>
      </c>
      <c r="H41" s="214">
        <f>'Picks importieren'!H42+'Picks importieren'!$S$2</f>
        <v>91.357399999999998</v>
      </c>
      <c r="I41" s="142">
        <f t="shared" si="7"/>
        <v>-999</v>
      </c>
      <c r="J41" s="207">
        <f>IF('Picks importieren'!J42="",-999,'Picks importieren'!J42+'Picks importieren'!$S$2)</f>
        <v>-999</v>
      </c>
      <c r="K41" s="142">
        <f t="shared" si="8"/>
        <v>-999</v>
      </c>
      <c r="L41" s="207">
        <f>IF('Picks importieren'!L42="",-999,'Picks importieren'!L42+'Picks importieren'!$S$2)</f>
        <v>-999</v>
      </c>
      <c r="M41" s="142">
        <f t="shared" si="5"/>
        <v>-999</v>
      </c>
      <c r="N41" s="207">
        <f>IF('Picks importieren'!N42="",-999,'Picks importieren'!N42+'Picks importieren'!$S$2)</f>
        <v>-999</v>
      </c>
      <c r="O41" s="142">
        <f t="shared" si="6"/>
        <v>-999</v>
      </c>
      <c r="P41" s="207">
        <f>IF('Picks importieren'!P42="",-999,'Picks importieren'!P42+'Picks importieren'!$S$2)</f>
        <v>-999</v>
      </c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</row>
    <row r="42" spans="1:44" ht="12.75" x14ac:dyDescent="0.2">
      <c r="A42" s="57">
        <v>40</v>
      </c>
      <c r="B42" s="57">
        <f>'Picks importieren'!B43</f>
        <v>162.5</v>
      </c>
      <c r="C42" s="142">
        <f t="shared" si="3"/>
        <v>66.271807731493183</v>
      </c>
      <c r="D42" s="214">
        <f>'Picks importieren'!D43+'Picks importieren'!$S$2</f>
        <v>56.445599999999999</v>
      </c>
      <c r="E42" s="142">
        <f t="shared" si="4"/>
        <v>32.539360780445577</v>
      </c>
      <c r="F42" s="214">
        <f>'Picks importieren'!F43+'Picks importieren'!$S$2</f>
        <v>38.368000000000002</v>
      </c>
      <c r="G42" s="142">
        <f t="shared" si="0"/>
        <v>165.00981788972436</v>
      </c>
      <c r="H42" s="214">
        <f>'Picks importieren'!H43+'Picks importieren'!$S$2</f>
        <v>92.129900000000006</v>
      </c>
      <c r="I42" s="142">
        <f t="shared" si="7"/>
        <v>-999</v>
      </c>
      <c r="J42" s="207">
        <f>IF('Picks importieren'!J43="",-999,'Picks importieren'!J43+'Picks importieren'!$S$2)</f>
        <v>-999</v>
      </c>
      <c r="K42" s="142">
        <f t="shared" si="8"/>
        <v>-999</v>
      </c>
      <c r="L42" s="207">
        <f>IF('Picks importieren'!L43="",-999,'Picks importieren'!L43+'Picks importieren'!$S$2)</f>
        <v>-999</v>
      </c>
      <c r="M42" s="142">
        <f t="shared" si="5"/>
        <v>-999</v>
      </c>
      <c r="N42" s="207">
        <f>IF('Picks importieren'!N43="",-999,'Picks importieren'!N43+'Picks importieren'!$S$2)</f>
        <v>-999</v>
      </c>
      <c r="O42" s="142">
        <f t="shared" si="6"/>
        <v>-999</v>
      </c>
      <c r="P42" s="207">
        <f>IF('Picks importieren'!P43="",-999,'Picks importieren'!P43+'Picks importieren'!$S$2)</f>
        <v>-999</v>
      </c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</row>
    <row r="43" spans="1:44" ht="12.75" x14ac:dyDescent="0.2">
      <c r="A43" s="57">
        <v>41</v>
      </c>
      <c r="B43" s="57">
        <f>'Picks importieren'!B44</f>
        <v>167.5</v>
      </c>
      <c r="C43" s="142">
        <f t="shared" si="3"/>
        <v>71.270277816211717</v>
      </c>
      <c r="D43" s="214">
        <f>'Picks importieren'!D44+'Picks importieren'!$S$2</f>
        <v>60.200299999999999</v>
      </c>
      <c r="E43" s="142">
        <f t="shared" si="4"/>
        <v>27.546506130542216</v>
      </c>
      <c r="F43" s="214">
        <f>'Picks importieren'!F44+'Picks importieren'!$S$2</f>
        <v>36.119399999999999</v>
      </c>
      <c r="G43" s="142">
        <f t="shared" si="0"/>
        <v>170.00952914469235</v>
      </c>
      <c r="H43" s="214">
        <f>'Picks importieren'!H44+'Picks importieren'!$S$2</f>
        <v>93.424599999999998</v>
      </c>
      <c r="I43" s="142">
        <f t="shared" si="7"/>
        <v>-999</v>
      </c>
      <c r="J43" s="207">
        <f>IF('Picks importieren'!J44="",-999,'Picks importieren'!J44+'Picks importieren'!$S$2)</f>
        <v>-999</v>
      </c>
      <c r="K43" s="142">
        <f t="shared" si="8"/>
        <v>-999</v>
      </c>
      <c r="L43" s="207">
        <f>IF('Picks importieren'!L44="",-999,'Picks importieren'!L44+'Picks importieren'!$S$2)</f>
        <v>-999</v>
      </c>
      <c r="M43" s="142">
        <f t="shared" si="5"/>
        <v>-999</v>
      </c>
      <c r="N43" s="207">
        <f>IF('Picks importieren'!N44="",-999,'Picks importieren'!N44+'Picks importieren'!$S$2)</f>
        <v>-999</v>
      </c>
      <c r="O43" s="142">
        <f t="shared" si="6"/>
        <v>-999</v>
      </c>
      <c r="P43" s="207">
        <f>IF('Picks importieren'!P44="",-999,'Picks importieren'!P44+'Picks importieren'!$S$2)</f>
        <v>-999</v>
      </c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</row>
    <row r="44" spans="1:44" ht="12.75" x14ac:dyDescent="0.2">
      <c r="A44" s="57">
        <v>42</v>
      </c>
      <c r="B44" s="57">
        <f>'Picks importieren'!B45</f>
        <v>172.5</v>
      </c>
      <c r="C44" s="142">
        <f t="shared" si="3"/>
        <v>76.268948465283046</v>
      </c>
      <c r="D44" s="214">
        <f>'Picks importieren'!D45+'Picks importieren'!$S$2</f>
        <v>62.734699999999997</v>
      </c>
      <c r="E44" s="142">
        <f t="shared" si="4"/>
        <v>22.556817151362466</v>
      </c>
      <c r="F44" s="214">
        <f>'Picks importieren'!F45+'Picks importieren'!$S$2</f>
        <v>33.870800000000003</v>
      </c>
      <c r="G44" s="142">
        <f t="shared" si="0"/>
        <v>175.00925689802813</v>
      </c>
      <c r="H44" s="214">
        <f>'Picks importieren'!H45+'Picks importieren'!$S$2</f>
        <v>94.174199999999999</v>
      </c>
      <c r="I44" s="142">
        <f t="shared" si="7"/>
        <v>-999</v>
      </c>
      <c r="J44" s="207">
        <f>IF('Picks importieren'!J45="",-999,'Picks importieren'!J45+'Picks importieren'!$S$2)</f>
        <v>-999</v>
      </c>
      <c r="K44" s="142">
        <f t="shared" si="8"/>
        <v>-999</v>
      </c>
      <c r="L44" s="207">
        <f>IF('Picks importieren'!L45="",-999,'Picks importieren'!L45+'Picks importieren'!$S$2)</f>
        <v>-999</v>
      </c>
      <c r="M44" s="142">
        <f t="shared" si="5"/>
        <v>-999</v>
      </c>
      <c r="N44" s="207">
        <f>IF('Picks importieren'!N45="",-999,'Picks importieren'!N45+'Picks importieren'!$S$2)</f>
        <v>-999</v>
      </c>
      <c r="O44" s="142">
        <f t="shared" si="6"/>
        <v>-999</v>
      </c>
      <c r="P44" s="207">
        <f>IF('Picks importieren'!P45="",-999,'Picks importieren'!P45+'Picks importieren'!$S$2)</f>
        <v>-999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</row>
    <row r="45" spans="1:44" ht="12.75" x14ac:dyDescent="0.2">
      <c r="A45" s="57">
        <v>43</v>
      </c>
      <c r="B45" s="57">
        <f>'Picks importieren'!B46</f>
        <v>177.5</v>
      </c>
      <c r="C45" s="142">
        <f t="shared" si="3"/>
        <v>81.26778266939489</v>
      </c>
      <c r="D45" s="214">
        <f>'Picks importieren'!D46+'Picks importieren'!$S$2</f>
        <v>66.113900000000001</v>
      </c>
      <c r="E45" s="142">
        <f t="shared" si="4"/>
        <v>17.572990639046047</v>
      </c>
      <c r="F45" s="214">
        <f>'Picks importieren'!F46+'Picks importieren'!$S$2</f>
        <v>31.009</v>
      </c>
      <c r="G45" s="142">
        <f t="shared" si="0"/>
        <v>180.00899977501126</v>
      </c>
      <c r="H45" s="214">
        <f>'Picks importieren'!H46+'Picks importieren'!$S$2</f>
        <v>95.838700000000003</v>
      </c>
      <c r="I45" s="142">
        <f t="shared" si="7"/>
        <v>-999</v>
      </c>
      <c r="J45" s="207">
        <f>IF('Picks importieren'!J46="",-999,'Picks importieren'!J46+'Picks importieren'!$S$2)</f>
        <v>-999</v>
      </c>
      <c r="K45" s="142">
        <f t="shared" si="8"/>
        <v>-999</v>
      </c>
      <c r="L45" s="207">
        <f>IF('Picks importieren'!L46="",-999,'Picks importieren'!L46+'Picks importieren'!$S$2)</f>
        <v>-999</v>
      </c>
      <c r="M45" s="142">
        <f t="shared" si="5"/>
        <v>-999</v>
      </c>
      <c r="N45" s="207">
        <f>IF('Picks importieren'!N46="",-999,'Picks importieren'!N46+'Picks importieren'!$S$2)</f>
        <v>-999</v>
      </c>
      <c r="O45" s="142">
        <f t="shared" si="6"/>
        <v>-999</v>
      </c>
      <c r="P45" s="207">
        <f>IF('Picks importieren'!P46="",-999,'Picks importieren'!P46+'Picks importieren'!$S$2)</f>
        <v>-999</v>
      </c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</row>
    <row r="46" spans="1:44" ht="12.75" x14ac:dyDescent="0.2">
      <c r="A46" s="57">
        <v>44</v>
      </c>
      <c r="B46" s="57">
        <f>'Picks importieren'!B47</f>
        <v>182.5</v>
      </c>
      <c r="C46" s="142">
        <f t="shared" si="3"/>
        <v>86.266751996351417</v>
      </c>
      <c r="D46" s="214">
        <f>'Picks importieren'!D47+'Picks importieren'!$S$2</f>
        <v>67.334199999999996</v>
      </c>
      <c r="E46" s="142">
        <f t="shared" si="4"/>
        <v>12.601983970788092</v>
      </c>
      <c r="F46" s="214">
        <f>'Picks importieren'!F47+'Picks importieren'!$S$2</f>
        <v>24.058800000000002</v>
      </c>
      <c r="G46" s="142">
        <f t="shared" si="0"/>
        <v>185.00875654952119</v>
      </c>
      <c r="H46" s="214">
        <f>'Picks importieren'!H47+'Picks importieren'!$S$2</f>
        <v>96.863</v>
      </c>
      <c r="I46" s="142">
        <f t="shared" si="7"/>
        <v>-999</v>
      </c>
      <c r="J46" s="207">
        <f>IF('Picks importieren'!J47="",-999,'Picks importieren'!J47+'Picks importieren'!$S$2)</f>
        <v>-999</v>
      </c>
      <c r="K46" s="142">
        <f t="shared" si="8"/>
        <v>-999</v>
      </c>
      <c r="L46" s="207">
        <f>IF('Picks importieren'!L47="",-999,'Picks importieren'!L47+'Picks importieren'!$S$2)</f>
        <v>-999</v>
      </c>
      <c r="M46" s="142">
        <f t="shared" si="5"/>
        <v>-999</v>
      </c>
      <c r="N46" s="207">
        <f>IF('Picks importieren'!N47="",-999,'Picks importieren'!N47+'Picks importieren'!$S$2)</f>
        <v>-999</v>
      </c>
      <c r="O46" s="142">
        <f t="shared" si="6"/>
        <v>-999</v>
      </c>
      <c r="P46" s="207">
        <f>IF('Picks importieren'!P47="",-999,'Picks importieren'!P47+'Picks importieren'!$S$2)</f>
        <v>-999</v>
      </c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</row>
    <row r="47" spans="1:44" ht="12.75" x14ac:dyDescent="0.2">
      <c r="A47" s="57">
        <v>45</v>
      </c>
      <c r="B47" s="57">
        <f>'Picks importieren'!B48</f>
        <v>185</v>
      </c>
      <c r="C47" s="142">
        <f t="shared" si="3"/>
        <v>88.766280196930637</v>
      </c>
      <c r="D47" s="214">
        <f>'Picks importieren'!D48+'Picks importieren'!$S$2</f>
        <v>68.460599999999999</v>
      </c>
      <c r="E47" s="142">
        <f t="shared" si="4"/>
        <v>10.127191120937731</v>
      </c>
      <c r="F47" s="214">
        <f>'Picks importieren'!F48+'Picks importieren'!$S$2</f>
        <v>19.561599999999999</v>
      </c>
      <c r="G47" s="142">
        <f>IF(G$1="","",SQRT(($B47-G$1)^2+H$1^2))</f>
        <v>187.50863980094357</v>
      </c>
      <c r="H47" s="214">
        <f>'Picks importieren'!H48+'Picks importieren'!$S$2</f>
        <v>97.631299999999996</v>
      </c>
      <c r="I47" s="142">
        <f t="shared" si="7"/>
        <v>-999</v>
      </c>
      <c r="J47" s="207">
        <f>IF('Picks importieren'!J48="",-999,'Picks importieren'!J48+'Picks importieren'!$S$2)</f>
        <v>-999</v>
      </c>
      <c r="K47" s="142">
        <f t="shared" si="8"/>
        <v>-999</v>
      </c>
      <c r="L47" s="207">
        <f>IF('Picks importieren'!L48="",-999,'Picks importieren'!L48+'Picks importieren'!$S$2)</f>
        <v>-999</v>
      </c>
      <c r="M47" s="142">
        <f t="shared" si="5"/>
        <v>-999</v>
      </c>
      <c r="N47" s="207">
        <f>IF('Picks importieren'!N48="",-999,'Picks importieren'!N48+'Picks importieren'!$S$2)</f>
        <v>-999</v>
      </c>
      <c r="O47" s="142">
        <f t="shared" si="6"/>
        <v>-999</v>
      </c>
      <c r="P47" s="207">
        <f>IF('Picks importieren'!P48="",-999,'Picks importieren'!P48+'Picks importieren'!$S$2)</f>
        <v>-999</v>
      </c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</row>
    <row r="48" spans="1:44" ht="12.75" x14ac:dyDescent="0.2">
      <c r="A48" s="57">
        <v>46</v>
      </c>
      <c r="B48" s="57">
        <f>'Picks importieren'!B49</f>
        <v>187.5</v>
      </c>
      <c r="C48" s="142">
        <f t="shared" si="3"/>
        <v>91.265834242612385</v>
      </c>
      <c r="D48" s="214">
        <f>'Picks importieren'!D49+'Picks importieren'!$S$2</f>
        <v>69.305400000000006</v>
      </c>
      <c r="E48" s="142">
        <f t="shared" si="4"/>
        <v>7.6687678280151372</v>
      </c>
      <c r="F48" s="214">
        <f>'Picks importieren'!F49+'Picks importieren'!$S$2</f>
        <v>15.064399999999999</v>
      </c>
      <c r="G48" s="142">
        <f>IF(G$1="","",SQRT(($B48-G$1)^2+H$1^2))</f>
        <v>190.00852612448736</v>
      </c>
      <c r="H48" s="214">
        <f>'Picks importieren'!H49+'Picks importieren'!$S$2</f>
        <v>98.399500000000003</v>
      </c>
      <c r="I48" s="142">
        <f t="shared" si="7"/>
        <v>-999</v>
      </c>
      <c r="J48" s="207">
        <f>IF('Picks importieren'!J49="",-999,'Picks importieren'!J49+'Picks importieren'!$S$2)</f>
        <v>-999</v>
      </c>
      <c r="K48" s="142">
        <f t="shared" si="8"/>
        <v>-999</v>
      </c>
      <c r="L48" s="207">
        <f>IF('Picks importieren'!L49="",-999,'Picks importieren'!L49+'Picks importieren'!$S$2)</f>
        <v>-999</v>
      </c>
      <c r="M48" s="142">
        <f t="shared" si="5"/>
        <v>-999</v>
      </c>
      <c r="N48" s="207">
        <f>IF('Picks importieren'!N49="",-999,'Picks importieren'!N49+'Picks importieren'!$S$2)</f>
        <v>-999</v>
      </c>
      <c r="O48" s="142">
        <f t="shared" si="6"/>
        <v>-999</v>
      </c>
      <c r="P48" s="207">
        <f>IF('Picks importieren'!P49="",-999,'Picks importieren'!P49+'Picks importieren'!$S$2)</f>
        <v>-999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</row>
    <row r="49" spans="1:44" ht="12.75" x14ac:dyDescent="0.2">
      <c r="A49" s="57">
        <v>47</v>
      </c>
      <c r="B49" s="57">
        <f>'Picks importieren'!B50</f>
        <v>190</v>
      </c>
      <c r="C49" s="142">
        <f t="shared" si="3"/>
        <v>93.765412066497092</v>
      </c>
      <c r="D49" s="214">
        <f>'Picks importieren'!D50+'Picks importieren'!$S$2</f>
        <v>70.257199999999997</v>
      </c>
      <c r="E49" s="142">
        <f t="shared" si="4"/>
        <v>5.2497618993626753</v>
      </c>
      <c r="F49" s="214">
        <f>'Picks importieren'!F50+'Picks importieren'!$S$2</f>
        <v>10.771599999999999</v>
      </c>
      <c r="G49" s="142">
        <f>IF(G$1="","",SQRT(($B49-G$1)^2+H$1^2))</f>
        <v>192.50841540047023</v>
      </c>
      <c r="H49" s="214">
        <f>'Picks importieren'!H50+'Picks importieren'!$S$2</f>
        <v>98.911699999999996</v>
      </c>
      <c r="I49" s="142">
        <f t="shared" si="7"/>
        <v>-999</v>
      </c>
      <c r="J49" s="207">
        <f>IF('Picks importieren'!J50="",-999,'Picks importieren'!J50+'Picks importieren'!$S$2)</f>
        <v>-999</v>
      </c>
      <c r="K49" s="142">
        <f t="shared" si="8"/>
        <v>-999</v>
      </c>
      <c r="L49" s="207">
        <f>IF('Picks importieren'!L50="",-999,'Picks importieren'!L50+'Picks importieren'!$S$2)</f>
        <v>-999</v>
      </c>
      <c r="M49" s="142">
        <f t="shared" si="5"/>
        <v>-999</v>
      </c>
      <c r="N49" s="207">
        <f>IF('Picks importieren'!N50="",-999,'Picks importieren'!N50+'Picks importieren'!$S$2)</f>
        <v>-999</v>
      </c>
      <c r="O49" s="142">
        <f t="shared" si="6"/>
        <v>-999</v>
      </c>
      <c r="P49" s="207">
        <f>IF('Picks importieren'!P50="",-999,'Picks importieren'!P50+'Picks importieren'!$S$2)</f>
        <v>-999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</row>
    <row r="50" spans="1:44" ht="12.75" x14ac:dyDescent="0.2">
      <c r="A50" s="57">
        <v>48</v>
      </c>
      <c r="B50" s="57">
        <f>'Picks importieren'!B51</f>
        <v>192.5</v>
      </c>
      <c r="C50" s="142">
        <f t="shared" si="3"/>
        <v>96.26501181633958</v>
      </c>
      <c r="D50" s="214">
        <f>'Picks importieren'!D51+'Picks importieren'!$S$2</f>
        <v>70.6661</v>
      </c>
      <c r="E50" s="142">
        <f t="shared" si="4"/>
        <v>2.9681644159311662</v>
      </c>
      <c r="F50" s="214">
        <f>'Picks importieren'!F51+'Picks importieren'!$S$2</f>
        <v>5.4567800000000002</v>
      </c>
      <c r="G50" s="142">
        <f>IF(G$1="","",SQRT(($B50-G$1)^2+H$1^2))</f>
        <v>195.00830751534664</v>
      </c>
      <c r="H50" s="214">
        <f>'Picks importieren'!H51+'Picks importieren'!$S$2</f>
        <v>99.807900000000004</v>
      </c>
      <c r="I50" s="142">
        <f t="shared" si="7"/>
        <v>-999</v>
      </c>
      <c r="J50" s="207">
        <f>IF('Picks importieren'!J51="",-999,'Picks importieren'!J51+'Picks importieren'!$S$2)</f>
        <v>-999</v>
      </c>
      <c r="K50" s="142">
        <f t="shared" si="8"/>
        <v>-999</v>
      </c>
      <c r="L50" s="207">
        <f>IF('Picks importieren'!L51="",-999,'Picks importieren'!L51+'Picks importieren'!$S$2)</f>
        <v>-999</v>
      </c>
      <c r="M50" s="142">
        <f t="shared" si="5"/>
        <v>-999</v>
      </c>
      <c r="N50" s="207">
        <f>IF('Picks importieren'!N51="",-999,'Picks importieren'!N51+'Picks importieren'!$S$2)</f>
        <v>-999</v>
      </c>
      <c r="O50" s="142">
        <f t="shared" si="6"/>
        <v>-999</v>
      </c>
      <c r="P50" s="207">
        <f>IF('Picks importieren'!P51="",-999,'Picks importieren'!P51+'Picks importieren'!$S$2)</f>
        <v>-999</v>
      </c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</row>
    <row r="51" spans="1:44" ht="12.75" x14ac:dyDescent="0.2">
      <c r="A51" s="215"/>
      <c r="B51" s="215"/>
      <c r="C51" s="216"/>
      <c r="D51" s="217"/>
      <c r="E51" s="216"/>
      <c r="F51" s="217"/>
      <c r="G51" s="216"/>
      <c r="H51" s="217"/>
      <c r="I51" s="216"/>
      <c r="J51" s="218"/>
      <c r="K51" s="216"/>
      <c r="L51" s="218"/>
      <c r="M51" s="216"/>
      <c r="N51" s="218"/>
      <c r="O51" s="216"/>
      <c r="P51" s="218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</row>
    <row r="52" spans="1:44" ht="12.75" x14ac:dyDescent="0.2">
      <c r="A52" s="215"/>
      <c r="B52" s="215"/>
      <c r="C52" s="216"/>
      <c r="D52" s="217"/>
      <c r="E52" s="216"/>
      <c r="F52" s="217"/>
      <c r="G52" s="216"/>
      <c r="H52" s="217"/>
      <c r="I52" s="216"/>
      <c r="J52" s="218"/>
      <c r="K52" s="216"/>
      <c r="L52" s="218"/>
      <c r="M52" s="216"/>
      <c r="N52" s="218"/>
      <c r="O52" s="216"/>
      <c r="P52" s="218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</row>
    <row r="53" spans="1:44" ht="12.75" x14ac:dyDescent="0.2">
      <c r="A53" s="215"/>
      <c r="B53" s="215"/>
      <c r="C53" s="216"/>
      <c r="D53" s="217"/>
      <c r="E53" s="216"/>
      <c r="F53" s="217"/>
      <c r="G53" s="216"/>
      <c r="H53" s="217"/>
      <c r="I53" s="216"/>
      <c r="J53" s="218"/>
      <c r="K53" s="216"/>
      <c r="L53" s="218"/>
      <c r="M53" s="216"/>
      <c r="N53" s="218"/>
      <c r="O53" s="216"/>
      <c r="P53" s="218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</row>
    <row r="54" spans="1:44" ht="12.75" x14ac:dyDescent="0.2">
      <c r="A54" s="215"/>
      <c r="B54" s="215"/>
      <c r="C54" s="216"/>
      <c r="D54" s="217"/>
      <c r="E54" s="216"/>
      <c r="F54" s="217"/>
      <c r="G54" s="216"/>
      <c r="H54" s="217"/>
      <c r="I54" s="216"/>
      <c r="J54" s="218"/>
      <c r="K54" s="216"/>
      <c r="L54" s="218"/>
      <c r="M54" s="216"/>
      <c r="N54" s="218"/>
      <c r="O54" s="216"/>
      <c r="P54" s="218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</row>
    <row r="55" spans="1:44" ht="12.75" x14ac:dyDescent="0.2">
      <c r="A55" s="215"/>
      <c r="B55" s="215"/>
      <c r="C55" s="216"/>
      <c r="D55" s="217"/>
      <c r="E55" s="216"/>
      <c r="F55" s="217"/>
      <c r="G55" s="216"/>
      <c r="H55" s="217"/>
      <c r="I55" s="216"/>
      <c r="J55" s="218"/>
      <c r="K55" s="216"/>
      <c r="L55" s="218"/>
      <c r="M55" s="216"/>
      <c r="N55" s="218"/>
      <c r="O55" s="216"/>
      <c r="P55" s="218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</row>
    <row r="56" spans="1:44" ht="12.75" x14ac:dyDescent="0.2">
      <c r="A56" s="215"/>
      <c r="B56" s="215"/>
      <c r="C56" s="216"/>
      <c r="D56" s="217"/>
      <c r="E56" s="216"/>
      <c r="F56" s="217"/>
      <c r="G56" s="216"/>
      <c r="H56" s="217"/>
      <c r="I56" s="216"/>
      <c r="J56" s="218"/>
      <c r="K56" s="216"/>
      <c r="L56" s="218"/>
      <c r="M56" s="216"/>
      <c r="N56" s="218"/>
      <c r="O56" s="216"/>
      <c r="P56" s="218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</row>
    <row r="57" spans="1:44" x14ac:dyDescent="0.2">
      <c r="A57" s="26"/>
      <c r="B57" s="26"/>
      <c r="C57" s="26"/>
      <c r="D57" s="26"/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</row>
    <row r="58" spans="1:44" ht="12.75" thickBot="1" x14ac:dyDescent="0.25">
      <c r="A58" s="26"/>
      <c r="B58" s="68"/>
      <c r="C58" s="68"/>
      <c r="D58" s="68"/>
      <c r="E58" s="26"/>
      <c r="F58" s="27"/>
      <c r="G58" s="27"/>
      <c r="H58" s="27"/>
      <c r="I58" s="27"/>
      <c r="J58" s="27"/>
      <c r="K58" s="27"/>
      <c r="L58" s="27"/>
      <c r="M58" s="29"/>
      <c r="N58" s="28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</row>
    <row r="59" spans="1:44" ht="12.75" thickTop="1" x14ac:dyDescent="0.2">
      <c r="A59" s="68"/>
      <c r="B59" s="244" t="s">
        <v>30</v>
      </c>
      <c r="C59" s="245"/>
      <c r="D59" s="246"/>
      <c r="E59" s="26"/>
      <c r="F59" s="27"/>
      <c r="G59" s="27"/>
      <c r="H59" s="27"/>
      <c r="I59" s="27"/>
      <c r="J59" s="27"/>
      <c r="K59" s="27"/>
      <c r="L59" s="27"/>
      <c r="M59" s="29"/>
      <c r="N59" s="28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</row>
    <row r="60" spans="1:44" x14ac:dyDescent="0.2">
      <c r="A60" s="68"/>
      <c r="B60" s="247"/>
      <c r="C60" s="248"/>
      <c r="D60" s="249"/>
      <c r="E60" s="26"/>
      <c r="F60" s="27"/>
      <c r="G60" s="27"/>
      <c r="H60" s="27"/>
      <c r="I60" s="27"/>
      <c r="J60" s="27"/>
      <c r="K60" s="27"/>
      <c r="L60" s="27"/>
      <c r="M60" s="29"/>
      <c r="N60" s="28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</row>
    <row r="61" spans="1:44" ht="12.75" thickBot="1" x14ac:dyDescent="0.25">
      <c r="A61" s="68"/>
      <c r="B61" s="250"/>
      <c r="C61" s="251"/>
      <c r="D61" s="252"/>
      <c r="E61" s="26"/>
      <c r="F61" s="27"/>
      <c r="G61" s="27"/>
      <c r="H61" s="27"/>
      <c r="I61" s="27"/>
      <c r="J61" s="27"/>
      <c r="K61" s="27"/>
      <c r="L61" s="27"/>
      <c r="M61" s="29"/>
      <c r="N61" s="28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</row>
    <row r="62" spans="1:44" ht="12.75" thickTop="1" x14ac:dyDescent="0.2">
      <c r="A62" s="26"/>
      <c r="B62" s="26"/>
      <c r="C62" s="26"/>
      <c r="D62" s="26"/>
      <c r="E62" s="26"/>
      <c r="F62" s="27"/>
      <c r="G62" s="27"/>
      <c r="H62" s="27"/>
      <c r="I62" s="27"/>
      <c r="J62" s="27"/>
      <c r="K62" s="27"/>
      <c r="L62" s="27"/>
      <c r="M62" s="29"/>
      <c r="N62" s="28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</row>
    <row r="63" spans="1:44" x14ac:dyDescent="0.2">
      <c r="A63" s="26"/>
      <c r="B63" s="26"/>
      <c r="C63" s="26"/>
      <c r="D63" s="26"/>
      <c r="E63" s="26"/>
      <c r="F63" s="27"/>
      <c r="G63" s="27"/>
      <c r="H63" s="27"/>
      <c r="I63" s="27"/>
      <c r="J63" s="27"/>
      <c r="K63" s="27"/>
      <c r="L63" s="27"/>
      <c r="M63" s="29"/>
      <c r="N63" s="28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</row>
    <row r="64" spans="1:44" x14ac:dyDescent="0.2">
      <c r="A64" s="26"/>
      <c r="B64" s="26"/>
      <c r="C64" s="26"/>
      <c r="D64" s="26"/>
      <c r="E64" s="26"/>
      <c r="F64" s="27"/>
      <c r="G64" s="27"/>
      <c r="H64" s="27"/>
      <c r="I64" s="27"/>
      <c r="J64" s="27"/>
      <c r="K64" s="27"/>
      <c r="L64" s="27"/>
      <c r="M64" s="29"/>
      <c r="N64" s="28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</row>
    <row r="65" spans="1:44" x14ac:dyDescent="0.2">
      <c r="A65" s="26"/>
      <c r="B65" s="26"/>
      <c r="C65" s="26"/>
      <c r="D65" s="26"/>
      <c r="E65" s="26"/>
      <c r="F65" s="27"/>
      <c r="G65" s="27"/>
      <c r="H65" s="27"/>
      <c r="I65" s="27"/>
      <c r="J65" s="27"/>
      <c r="K65" s="27"/>
      <c r="L65" s="27"/>
      <c r="M65" s="29"/>
      <c r="N65" s="28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</row>
    <row r="66" spans="1:44" x14ac:dyDescent="0.2">
      <c r="A66" s="26"/>
      <c r="B66" s="26"/>
      <c r="C66" s="26"/>
      <c r="D66" s="26"/>
      <c r="E66" s="26"/>
      <c r="F66" s="27"/>
      <c r="G66" s="27"/>
      <c r="H66" s="27"/>
      <c r="I66" s="27"/>
      <c r="J66" s="27"/>
      <c r="K66" s="27"/>
      <c r="L66" s="27"/>
      <c r="M66" s="29"/>
      <c r="N66" s="28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</row>
    <row r="67" spans="1:44" x14ac:dyDescent="0.2">
      <c r="A67" s="26"/>
      <c r="B67" s="26"/>
      <c r="C67" s="26"/>
      <c r="D67" s="26"/>
      <c r="E67" s="26"/>
      <c r="F67" s="27"/>
      <c r="G67" s="27"/>
      <c r="H67" s="27"/>
      <c r="I67" s="27"/>
      <c r="J67" s="27"/>
      <c r="K67" s="27"/>
      <c r="L67" s="27"/>
      <c r="M67" s="29"/>
      <c r="N67" s="28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</row>
    <row r="68" spans="1:44" x14ac:dyDescent="0.2">
      <c r="A68" s="26"/>
      <c r="B68" s="26"/>
      <c r="C68" s="26"/>
      <c r="D68" s="26"/>
      <c r="E68" s="26"/>
      <c r="F68" s="27"/>
      <c r="G68" s="27"/>
      <c r="H68" s="27"/>
      <c r="I68" s="27"/>
      <c r="J68" s="27"/>
      <c r="K68" s="27"/>
      <c r="L68" s="27"/>
      <c r="M68" s="29"/>
      <c r="N68" s="28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</row>
    <row r="69" spans="1:44" x14ac:dyDescent="0.2">
      <c r="A69" s="26"/>
      <c r="B69" s="26"/>
      <c r="C69" s="26"/>
      <c r="D69" s="26"/>
      <c r="E69" s="26"/>
      <c r="F69" s="27"/>
      <c r="G69" s="27"/>
      <c r="H69" s="27"/>
      <c r="I69" s="27"/>
      <c r="J69" s="27"/>
      <c r="K69" s="27"/>
      <c r="L69" s="27"/>
      <c r="M69" s="29"/>
      <c r="N69" s="28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</row>
    <row r="70" spans="1:44" x14ac:dyDescent="0.2">
      <c r="A70" s="26"/>
      <c r="B70" s="26"/>
      <c r="C70" s="26"/>
      <c r="D70" s="26"/>
      <c r="E70" s="26"/>
      <c r="F70" s="27"/>
      <c r="G70" s="27"/>
      <c r="H70" s="27"/>
      <c r="I70" s="27"/>
      <c r="J70" s="27"/>
      <c r="K70" s="27"/>
      <c r="L70" s="27"/>
      <c r="M70" s="29"/>
      <c r="N70" s="28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</row>
    <row r="71" spans="1:44" x14ac:dyDescent="0.2">
      <c r="A71" s="26"/>
      <c r="B71" s="26"/>
      <c r="C71" s="26"/>
      <c r="D71" s="26"/>
      <c r="E71" s="26"/>
      <c r="F71" s="27"/>
      <c r="G71" s="27"/>
      <c r="H71" s="27"/>
      <c r="I71" s="27"/>
      <c r="J71" s="27"/>
      <c r="K71" s="27"/>
      <c r="L71" s="27"/>
      <c r="M71" s="29"/>
      <c r="N71" s="28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</row>
    <row r="72" spans="1:44" x14ac:dyDescent="0.2">
      <c r="A72" s="26"/>
      <c r="B72" s="26"/>
      <c r="C72" s="26"/>
      <c r="D72" s="26"/>
      <c r="E72" s="26"/>
      <c r="F72" s="27"/>
      <c r="G72" s="27"/>
      <c r="H72" s="27"/>
      <c r="I72" s="27"/>
      <c r="J72" s="27"/>
      <c r="K72" s="27"/>
      <c r="L72" s="27"/>
      <c r="M72" s="29"/>
      <c r="N72" s="28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</row>
    <row r="73" spans="1:44" x14ac:dyDescent="0.2">
      <c r="A73" s="26"/>
      <c r="B73" s="26"/>
      <c r="C73" s="26"/>
      <c r="D73" s="26"/>
      <c r="E73" s="26"/>
      <c r="F73" s="27"/>
      <c r="G73" s="27"/>
      <c r="H73" s="27"/>
      <c r="I73" s="27"/>
      <c r="J73" s="27"/>
      <c r="K73" s="27"/>
      <c r="L73" s="27"/>
      <c r="M73" s="29"/>
      <c r="N73" s="28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</row>
    <row r="74" spans="1:44" x14ac:dyDescent="0.2">
      <c r="A74" s="26"/>
      <c r="B74" s="26"/>
      <c r="C74" s="26"/>
      <c r="D74" s="26"/>
      <c r="E74" s="26"/>
      <c r="F74" s="27"/>
      <c r="G74" s="27"/>
      <c r="H74" s="27"/>
      <c r="I74" s="27"/>
      <c r="J74" s="27"/>
      <c r="K74" s="27"/>
      <c r="L74" s="27"/>
      <c r="M74" s="29"/>
      <c r="N74" s="28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</row>
    <row r="75" spans="1:44" x14ac:dyDescent="0.2">
      <c r="A75" s="26"/>
      <c r="B75" s="26"/>
      <c r="C75" s="26"/>
      <c r="D75" s="26"/>
      <c r="E75" s="26"/>
      <c r="F75" s="27"/>
      <c r="G75" s="27"/>
      <c r="H75" s="27"/>
      <c r="I75" s="27"/>
      <c r="J75" s="27"/>
      <c r="K75" s="27"/>
      <c r="L75" s="27"/>
      <c r="M75" s="29"/>
      <c r="N75" s="28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</row>
    <row r="76" spans="1:44" x14ac:dyDescent="0.2">
      <c r="A76" s="26"/>
      <c r="B76" s="26"/>
      <c r="C76" s="26"/>
      <c r="D76" s="26"/>
      <c r="E76" s="26"/>
      <c r="F76" s="27"/>
      <c r="G76" s="27"/>
      <c r="H76" s="27"/>
      <c r="I76" s="27"/>
      <c r="J76" s="27"/>
      <c r="K76" s="27"/>
      <c r="L76" s="27"/>
      <c r="M76" s="29"/>
      <c r="N76" s="28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</row>
    <row r="77" spans="1:44" x14ac:dyDescent="0.2">
      <c r="A77" s="26"/>
      <c r="B77" s="26"/>
      <c r="C77" s="26"/>
      <c r="D77" s="26"/>
      <c r="E77" s="26"/>
      <c r="F77" s="27"/>
      <c r="G77" s="27"/>
      <c r="H77" s="27"/>
      <c r="I77" s="27"/>
      <c r="J77" s="27"/>
      <c r="K77" s="27"/>
      <c r="L77" s="27"/>
      <c r="M77" s="29"/>
      <c r="N77" s="28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</row>
    <row r="78" spans="1:44" x14ac:dyDescent="0.2">
      <c r="A78" s="26"/>
      <c r="B78" s="26"/>
      <c r="C78" s="26"/>
      <c r="D78" s="26"/>
      <c r="E78" s="26"/>
      <c r="F78" s="27"/>
      <c r="G78" s="27"/>
      <c r="H78" s="27"/>
      <c r="I78" s="27"/>
      <c r="J78" s="27"/>
      <c r="K78" s="27"/>
      <c r="L78" s="27"/>
      <c r="M78" s="29"/>
      <c r="N78" s="28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</row>
    <row r="79" spans="1:44" x14ac:dyDescent="0.2">
      <c r="A79" s="26"/>
      <c r="B79" s="26"/>
      <c r="C79" s="26"/>
      <c r="D79" s="26"/>
      <c r="E79" s="26"/>
      <c r="F79" s="27"/>
      <c r="G79" s="27"/>
      <c r="H79" s="27"/>
      <c r="I79" s="27"/>
      <c r="J79" s="27"/>
      <c r="K79" s="27"/>
      <c r="L79" s="27"/>
      <c r="M79" s="29"/>
      <c r="N79" s="28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</row>
    <row r="80" spans="1:44" x14ac:dyDescent="0.2">
      <c r="A80" s="26"/>
      <c r="B80" s="26"/>
      <c r="C80" s="26"/>
      <c r="D80" s="26"/>
      <c r="E80" s="26"/>
      <c r="F80" s="27"/>
      <c r="G80" s="27"/>
      <c r="H80" s="27"/>
      <c r="I80" s="27"/>
      <c r="J80" s="27"/>
      <c r="K80" s="27"/>
      <c r="L80" s="27"/>
      <c r="M80" s="29"/>
      <c r="N80" s="28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</row>
    <row r="81" spans="1:44" x14ac:dyDescent="0.2">
      <c r="A81" s="26"/>
      <c r="B81" s="26"/>
      <c r="C81" s="26"/>
      <c r="D81" s="26"/>
      <c r="E81" s="26"/>
      <c r="F81" s="27"/>
      <c r="G81" s="27"/>
      <c r="H81" s="27"/>
      <c r="I81" s="27"/>
      <c r="J81" s="27"/>
      <c r="K81" s="27"/>
      <c r="L81" s="27"/>
      <c r="M81" s="29"/>
      <c r="N81" s="28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</row>
    <row r="82" spans="1:44" x14ac:dyDescent="0.2">
      <c r="A82" s="26"/>
      <c r="B82" s="26"/>
      <c r="C82" s="26"/>
      <c r="D82" s="26"/>
      <c r="E82" s="26"/>
      <c r="F82" s="27"/>
      <c r="G82" s="27"/>
      <c r="H82" s="27"/>
      <c r="I82" s="27"/>
      <c r="J82" s="27"/>
      <c r="K82" s="27"/>
      <c r="L82" s="27"/>
      <c r="M82" s="29"/>
      <c r="N82" s="28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</row>
    <row r="83" spans="1:44" x14ac:dyDescent="0.2">
      <c r="A83" s="26"/>
      <c r="B83" s="26"/>
      <c r="C83" s="26"/>
      <c r="D83" s="26"/>
      <c r="E83" s="26"/>
      <c r="F83" s="27"/>
      <c r="G83" s="27"/>
      <c r="H83" s="27"/>
      <c r="I83" s="27"/>
      <c r="J83" s="27"/>
      <c r="K83" s="27"/>
      <c r="L83" s="27"/>
      <c r="M83" s="29"/>
      <c r="N83" s="28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</row>
    <row r="84" spans="1:44" x14ac:dyDescent="0.2">
      <c r="A84" s="26"/>
      <c r="B84" s="26"/>
      <c r="C84" s="26"/>
      <c r="D84" s="26"/>
      <c r="E84" s="26"/>
      <c r="F84" s="27"/>
      <c r="G84" s="27"/>
      <c r="H84" s="27"/>
      <c r="I84" s="27"/>
      <c r="J84" s="27"/>
      <c r="K84" s="27"/>
      <c r="L84" s="27"/>
      <c r="M84" s="29"/>
      <c r="N84" s="28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</row>
    <row r="85" spans="1:44" x14ac:dyDescent="0.2">
      <c r="A85" s="26"/>
      <c r="B85" s="26"/>
      <c r="C85" s="26"/>
      <c r="D85" s="26"/>
      <c r="E85" s="26"/>
      <c r="F85" s="27"/>
      <c r="G85" s="27"/>
      <c r="H85" s="27"/>
      <c r="I85" s="27"/>
      <c r="J85" s="27"/>
      <c r="K85" s="27"/>
      <c r="L85" s="27"/>
      <c r="M85" s="29"/>
      <c r="N85" s="28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</row>
    <row r="86" spans="1:44" x14ac:dyDescent="0.2">
      <c r="A86" s="26"/>
      <c r="B86" s="26"/>
      <c r="C86" s="26"/>
      <c r="D86" s="26"/>
      <c r="E86" s="26"/>
      <c r="F86" s="27"/>
      <c r="G86" s="27"/>
      <c r="H86" s="27"/>
      <c r="I86" s="27"/>
      <c r="J86" s="27"/>
      <c r="K86" s="27"/>
      <c r="L86" s="27"/>
      <c r="M86" s="29"/>
      <c r="N86" s="28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</row>
    <row r="87" spans="1:44" x14ac:dyDescent="0.2">
      <c r="A87" s="26"/>
      <c r="B87" s="26"/>
      <c r="C87" s="26"/>
      <c r="D87" s="26"/>
      <c r="E87" s="26"/>
      <c r="F87" s="27"/>
      <c r="G87" s="27"/>
      <c r="H87" s="27"/>
      <c r="I87" s="27"/>
      <c r="J87" s="27"/>
      <c r="K87" s="27"/>
      <c r="L87" s="27"/>
      <c r="M87" s="29"/>
      <c r="N87" s="28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</row>
    <row r="88" spans="1:44" x14ac:dyDescent="0.2">
      <c r="A88" s="26"/>
      <c r="B88" s="26"/>
      <c r="C88" s="26"/>
      <c r="D88" s="26"/>
      <c r="E88" s="26"/>
      <c r="F88" s="27"/>
      <c r="G88" s="27"/>
      <c r="H88" s="27"/>
      <c r="I88" s="27"/>
      <c r="J88" s="27"/>
      <c r="K88" s="27"/>
      <c r="L88" s="27"/>
      <c r="M88" s="29"/>
      <c r="N88" s="28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</row>
    <row r="89" spans="1:44" x14ac:dyDescent="0.2">
      <c r="A89" s="26"/>
      <c r="B89" s="26"/>
      <c r="C89" s="26"/>
      <c r="D89" s="26"/>
      <c r="E89" s="26"/>
      <c r="F89" s="27"/>
      <c r="G89" s="27"/>
      <c r="H89" s="27"/>
      <c r="I89" s="27"/>
      <c r="J89" s="27"/>
      <c r="K89" s="27"/>
      <c r="L89" s="27"/>
      <c r="M89" s="29"/>
      <c r="N89" s="28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</row>
    <row r="90" spans="1:44" x14ac:dyDescent="0.2">
      <c r="A90" s="26"/>
      <c r="B90" s="26"/>
      <c r="C90" s="26"/>
      <c r="D90" s="26"/>
      <c r="E90" s="26"/>
      <c r="F90" s="27"/>
      <c r="G90" s="27"/>
      <c r="H90" s="27"/>
      <c r="I90" s="27"/>
      <c r="J90" s="27"/>
      <c r="K90" s="27"/>
      <c r="L90" s="27"/>
      <c r="M90" s="29"/>
      <c r="N90" s="28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</row>
    <row r="91" spans="1:44" x14ac:dyDescent="0.2">
      <c r="A91" s="26"/>
      <c r="B91" s="26"/>
      <c r="C91" s="26"/>
      <c r="D91" s="26"/>
      <c r="E91" s="26"/>
      <c r="F91" s="27"/>
      <c r="G91" s="27"/>
      <c r="H91" s="27"/>
      <c r="I91" s="27"/>
      <c r="J91" s="27"/>
      <c r="K91" s="27"/>
      <c r="L91" s="27"/>
      <c r="M91" s="29"/>
      <c r="N91" s="28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</row>
    <row r="92" spans="1:44" x14ac:dyDescent="0.2">
      <c r="A92" s="26"/>
      <c r="B92" s="26"/>
      <c r="C92" s="26"/>
      <c r="D92" s="26"/>
      <c r="E92" s="26"/>
      <c r="F92" s="27"/>
      <c r="G92" s="27"/>
      <c r="H92" s="27"/>
      <c r="I92" s="27"/>
      <c r="J92" s="27"/>
      <c r="K92" s="27"/>
      <c r="L92" s="27"/>
      <c r="M92" s="29"/>
      <c r="N92" s="28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</row>
    <row r="93" spans="1:44" x14ac:dyDescent="0.2">
      <c r="A93" s="26"/>
      <c r="B93" s="26"/>
      <c r="C93" s="26"/>
      <c r="D93" s="26"/>
      <c r="E93" s="26"/>
      <c r="F93" s="27"/>
      <c r="G93" s="27"/>
      <c r="H93" s="27"/>
      <c r="I93" s="27"/>
      <c r="J93" s="27"/>
      <c r="K93" s="27"/>
      <c r="L93" s="27"/>
      <c r="M93" s="29"/>
      <c r="N93" s="28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</row>
    <row r="94" spans="1:44" x14ac:dyDescent="0.2">
      <c r="A94" s="26"/>
      <c r="B94" s="26"/>
      <c r="C94" s="26"/>
      <c r="D94" s="26"/>
      <c r="E94" s="26"/>
      <c r="F94" s="27"/>
      <c r="G94" s="27"/>
      <c r="H94" s="27"/>
      <c r="I94" s="27"/>
      <c r="J94" s="27"/>
      <c r="K94" s="27"/>
      <c r="L94" s="27"/>
      <c r="M94" s="29"/>
      <c r="N94" s="28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</row>
    <row r="95" spans="1:44" x14ac:dyDescent="0.2">
      <c r="A95" s="26"/>
      <c r="B95" s="26"/>
      <c r="C95" s="26"/>
      <c r="D95" s="26"/>
      <c r="E95" s="26"/>
      <c r="F95" s="27"/>
      <c r="G95" s="27"/>
      <c r="H95" s="27"/>
      <c r="I95" s="27"/>
      <c r="J95" s="27"/>
      <c r="K95" s="27"/>
      <c r="L95" s="27"/>
      <c r="M95" s="29"/>
      <c r="N95" s="28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</row>
    <row r="96" spans="1:44" x14ac:dyDescent="0.2">
      <c r="A96" s="26"/>
      <c r="B96" s="26"/>
      <c r="C96" s="26"/>
      <c r="D96" s="26"/>
      <c r="E96" s="26"/>
      <c r="F96" s="27"/>
      <c r="G96" s="27"/>
      <c r="H96" s="27"/>
      <c r="I96" s="27"/>
      <c r="J96" s="27"/>
      <c r="K96" s="27"/>
      <c r="L96" s="27"/>
      <c r="M96" s="29"/>
      <c r="N96" s="28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</row>
    <row r="97" spans="1:44" x14ac:dyDescent="0.2">
      <c r="A97" s="26"/>
      <c r="B97" s="26"/>
      <c r="C97" s="26"/>
      <c r="D97" s="26"/>
      <c r="E97" s="26"/>
      <c r="F97" s="27"/>
      <c r="G97" s="27"/>
      <c r="H97" s="27"/>
      <c r="I97" s="27"/>
      <c r="J97" s="27"/>
      <c r="K97" s="27"/>
      <c r="L97" s="27"/>
      <c r="M97" s="29"/>
      <c r="N97" s="28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</row>
    <row r="98" spans="1:44" x14ac:dyDescent="0.2">
      <c r="A98" s="26"/>
      <c r="B98" s="26"/>
      <c r="C98" s="26"/>
      <c r="D98" s="26"/>
      <c r="E98" s="26"/>
      <c r="F98" s="27"/>
      <c r="G98" s="27"/>
      <c r="H98" s="27"/>
      <c r="I98" s="27"/>
      <c r="J98" s="27"/>
      <c r="K98" s="27"/>
      <c r="L98" s="27"/>
      <c r="M98" s="29"/>
      <c r="N98" s="28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</row>
    <row r="99" spans="1:44" x14ac:dyDescent="0.2">
      <c r="A99" s="26"/>
      <c r="B99" s="26"/>
      <c r="C99" s="26"/>
      <c r="D99" s="26"/>
      <c r="E99" s="26"/>
      <c r="F99" s="27"/>
      <c r="G99" s="27"/>
      <c r="H99" s="27"/>
      <c r="I99" s="27"/>
      <c r="J99" s="27"/>
      <c r="K99" s="27"/>
      <c r="L99" s="27"/>
      <c r="M99" s="29"/>
      <c r="N99" s="28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</row>
    <row r="100" spans="1:44" x14ac:dyDescent="0.2">
      <c r="A100" s="26"/>
      <c r="B100" s="26"/>
      <c r="C100" s="26"/>
      <c r="D100" s="26"/>
      <c r="E100" s="26"/>
      <c r="F100" s="27"/>
      <c r="G100" s="27"/>
      <c r="H100" s="27"/>
      <c r="I100" s="27"/>
      <c r="J100" s="27"/>
      <c r="K100" s="27"/>
      <c r="L100" s="27"/>
      <c r="M100" s="29"/>
      <c r="N100" s="28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</row>
    <row r="101" spans="1:44" x14ac:dyDescent="0.2">
      <c r="A101" s="26"/>
      <c r="B101" s="26"/>
      <c r="C101" s="26"/>
      <c r="D101" s="26"/>
      <c r="E101" s="26"/>
      <c r="F101" s="27"/>
      <c r="G101" s="27"/>
      <c r="H101" s="27"/>
      <c r="I101" s="27"/>
      <c r="J101" s="27"/>
      <c r="K101" s="27"/>
      <c r="L101" s="27"/>
      <c r="M101" s="29"/>
      <c r="N101" s="28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</row>
    <row r="102" spans="1:44" x14ac:dyDescent="0.2">
      <c r="A102" s="26"/>
      <c r="B102" s="26"/>
      <c r="C102" s="26"/>
      <c r="D102" s="26"/>
      <c r="E102" s="26"/>
      <c r="F102" s="27"/>
      <c r="G102" s="27"/>
      <c r="H102" s="27"/>
      <c r="I102" s="27"/>
      <c r="J102" s="27"/>
      <c r="K102" s="27"/>
      <c r="L102" s="27"/>
      <c r="M102" s="29"/>
      <c r="N102" s="28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</row>
    <row r="103" spans="1:44" x14ac:dyDescent="0.2">
      <c r="A103" s="26"/>
      <c r="B103" s="26"/>
      <c r="C103" s="26"/>
      <c r="D103" s="26"/>
      <c r="E103" s="26"/>
      <c r="F103" s="27"/>
      <c r="G103" s="27"/>
      <c r="H103" s="27"/>
      <c r="I103" s="27"/>
      <c r="J103" s="27"/>
      <c r="K103" s="27"/>
      <c r="L103" s="27"/>
      <c r="M103" s="29"/>
      <c r="N103" s="28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</row>
    <row r="104" spans="1:44" x14ac:dyDescent="0.2">
      <c r="A104" s="26"/>
      <c r="B104" s="26"/>
      <c r="C104" s="26"/>
      <c r="D104" s="26"/>
      <c r="E104" s="26"/>
      <c r="F104" s="27"/>
      <c r="G104" s="27"/>
      <c r="H104" s="27"/>
      <c r="I104" s="27"/>
      <c r="J104" s="27"/>
      <c r="K104" s="27"/>
      <c r="L104" s="27"/>
      <c r="M104" s="29"/>
      <c r="N104" s="28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</row>
    <row r="105" spans="1:44" x14ac:dyDescent="0.2">
      <c r="A105" s="26"/>
      <c r="B105" s="26"/>
      <c r="C105" s="26"/>
      <c r="D105" s="26"/>
      <c r="E105" s="26"/>
      <c r="F105" s="27"/>
      <c r="G105" s="27"/>
      <c r="H105" s="27"/>
      <c r="I105" s="27"/>
      <c r="J105" s="27"/>
      <c r="K105" s="27"/>
      <c r="L105" s="27"/>
      <c r="M105" s="29"/>
      <c r="N105" s="28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</row>
    <row r="106" spans="1:44" x14ac:dyDescent="0.2">
      <c r="A106" s="26"/>
      <c r="B106" s="26"/>
      <c r="C106" s="26"/>
      <c r="D106" s="26"/>
      <c r="E106" s="26"/>
      <c r="F106" s="27"/>
      <c r="G106" s="27"/>
      <c r="H106" s="27"/>
      <c r="I106" s="27"/>
      <c r="J106" s="27"/>
      <c r="K106" s="27"/>
      <c r="L106" s="27"/>
      <c r="M106" s="29"/>
      <c r="N106" s="28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</row>
    <row r="107" spans="1:44" x14ac:dyDescent="0.2">
      <c r="A107" s="26"/>
      <c r="B107" s="26"/>
      <c r="C107" s="26"/>
      <c r="D107" s="26"/>
      <c r="E107" s="26"/>
      <c r="F107" s="27"/>
      <c r="G107" s="27"/>
      <c r="H107" s="27"/>
      <c r="I107" s="27"/>
      <c r="J107" s="27"/>
      <c r="K107" s="27"/>
      <c r="L107" s="27"/>
      <c r="M107" s="29"/>
      <c r="N107" s="28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</row>
    <row r="108" spans="1:44" x14ac:dyDescent="0.2">
      <c r="A108" s="26"/>
      <c r="B108" s="26"/>
      <c r="C108" s="26"/>
      <c r="D108" s="26"/>
      <c r="E108" s="26"/>
      <c r="F108" s="27"/>
      <c r="G108" s="27"/>
      <c r="H108" s="27"/>
      <c r="I108" s="27"/>
      <c r="J108" s="27"/>
      <c r="K108" s="27"/>
      <c r="L108" s="27"/>
      <c r="M108" s="29"/>
      <c r="N108" s="28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</row>
    <row r="109" spans="1:44" x14ac:dyDescent="0.2">
      <c r="A109" s="26"/>
      <c r="B109" s="26"/>
      <c r="C109" s="26"/>
      <c r="D109" s="26"/>
      <c r="E109" s="26"/>
      <c r="F109" s="27"/>
      <c r="G109" s="27"/>
      <c r="H109" s="27"/>
      <c r="I109" s="27"/>
      <c r="J109" s="27"/>
      <c r="K109" s="27"/>
      <c r="L109" s="27"/>
      <c r="M109" s="29"/>
      <c r="N109" s="28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</row>
    <row r="110" spans="1:44" x14ac:dyDescent="0.2">
      <c r="A110" s="26"/>
      <c r="B110" s="26"/>
      <c r="C110" s="26"/>
      <c r="D110" s="26"/>
      <c r="E110" s="26"/>
      <c r="F110" s="27"/>
      <c r="G110" s="27"/>
      <c r="H110" s="27"/>
      <c r="I110" s="27"/>
      <c r="J110" s="27"/>
      <c r="K110" s="27"/>
      <c r="L110" s="27"/>
      <c r="M110" s="29"/>
      <c r="N110" s="28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</row>
    <row r="111" spans="1:44" x14ac:dyDescent="0.2">
      <c r="A111" s="26"/>
      <c r="B111" s="26"/>
      <c r="C111" s="26"/>
      <c r="D111" s="26"/>
      <c r="E111" s="26"/>
      <c r="F111" s="27"/>
      <c r="G111" s="27"/>
      <c r="H111" s="27"/>
      <c r="I111" s="27"/>
      <c r="J111" s="27"/>
      <c r="K111" s="27"/>
      <c r="L111" s="27"/>
      <c r="M111" s="29"/>
      <c r="N111" s="28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</row>
  </sheetData>
  <mergeCells count="1">
    <mergeCell ref="B59:D61"/>
  </mergeCells>
  <phoneticPr fontId="0" type="noConversion"/>
  <hyperlinks>
    <hyperlink ref="B59:D61" location="Laufzeitkurven!C2" tooltip="Zur Auswahl der Auswertemethode" display="WEITER" xr:uid="{00000000-0004-0000-0100-000000000000}"/>
  </hyperlinks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>
    <tabColor indexed="15"/>
  </sheetPr>
  <dimension ref="A1:BA423"/>
  <sheetViews>
    <sheetView workbookViewId="0">
      <selection activeCell="C2" sqref="C2:D2"/>
    </sheetView>
  </sheetViews>
  <sheetFormatPr baseColWidth="10" defaultRowHeight="12.75" x14ac:dyDescent="0.2"/>
  <sheetData>
    <row r="1" spans="1:53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29" t="s">
        <v>135</v>
      </c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</row>
    <row r="2" spans="1:53" ht="25.5" x14ac:dyDescent="0.2">
      <c r="A2" s="54"/>
      <c r="B2" s="55" t="s">
        <v>31</v>
      </c>
      <c r="C2" s="266" t="s">
        <v>137</v>
      </c>
      <c r="D2" s="267"/>
      <c r="E2" s="54"/>
      <c r="F2" s="102" t="s">
        <v>73</v>
      </c>
      <c r="G2" s="268" t="s">
        <v>136</v>
      </c>
      <c r="H2" s="268"/>
      <c r="I2" s="268"/>
      <c r="J2" s="268"/>
      <c r="K2" s="268"/>
      <c r="L2" s="268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</row>
    <row r="3" spans="1:53" x14ac:dyDescent="0.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</row>
    <row r="4" spans="1:53" x14ac:dyDescent="0.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</row>
    <row r="5" spans="1:53" x14ac:dyDescent="0.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</row>
    <row r="6" spans="1:53" x14ac:dyDescent="0.2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</row>
    <row r="7" spans="1:53" x14ac:dyDescent="0.2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</row>
    <row r="8" spans="1:53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</row>
    <row r="9" spans="1:53" x14ac:dyDescent="0.2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</row>
    <row r="10" spans="1:53" x14ac:dyDescent="0.2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</row>
    <row r="11" spans="1:53" x14ac:dyDescent="0.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</row>
    <row r="12" spans="1:53" x14ac:dyDescent="0.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</row>
    <row r="13" spans="1:53" x14ac:dyDescent="0.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</row>
    <row r="14" spans="1:53" x14ac:dyDescent="0.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</row>
    <row r="15" spans="1:53" x14ac:dyDescent="0.2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</row>
    <row r="16" spans="1:53" x14ac:dyDescent="0.2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</row>
    <row r="17" spans="1:53" x14ac:dyDescent="0.2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</row>
    <row r="18" spans="1:53" x14ac:dyDescent="0.2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</row>
    <row r="19" spans="1:53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</row>
    <row r="20" spans="1:53" x14ac:dyDescent="0.2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</row>
    <row r="21" spans="1:53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</row>
    <row r="22" spans="1:53" x14ac:dyDescent="0.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</row>
    <row r="23" spans="1:53" x14ac:dyDescent="0.2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</row>
    <row r="24" spans="1:53" x14ac:dyDescent="0.2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</row>
    <row r="25" spans="1:53" x14ac:dyDescent="0.2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</row>
    <row r="26" spans="1:53" x14ac:dyDescent="0.2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</row>
    <row r="27" spans="1:53" x14ac:dyDescent="0.2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</row>
    <row r="28" spans="1:53" x14ac:dyDescent="0.2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</row>
    <row r="29" spans="1:53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</row>
    <row r="30" spans="1:53" x14ac:dyDescent="0.2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</row>
    <row r="31" spans="1:53" x14ac:dyDescent="0.2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</row>
    <row r="32" spans="1:53" x14ac:dyDescent="0.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</row>
    <row r="33" spans="1:53" x14ac:dyDescent="0.2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</row>
    <row r="35" spans="1:53" x14ac:dyDescent="0.2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</row>
    <row r="36" spans="1:53" x14ac:dyDescent="0.2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</row>
    <row r="37" spans="1:53" x14ac:dyDescent="0.2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</row>
    <row r="38" spans="1:53" x14ac:dyDescent="0.2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</row>
    <row r="39" spans="1:53" x14ac:dyDescent="0.2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</row>
    <row r="40" spans="1:53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</row>
    <row r="41" spans="1:53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</row>
    <row r="42" spans="1:53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</row>
    <row r="43" spans="1:53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</row>
    <row r="44" spans="1:53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</row>
    <row r="45" spans="1:53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</row>
    <row r="46" spans="1:53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</row>
    <row r="47" spans="1:53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</row>
    <row r="48" spans="1:53" ht="13.5" thickBot="1" x14ac:dyDescent="0.25">
      <c r="A48" s="54"/>
      <c r="B48" s="54"/>
      <c r="C48" s="54"/>
      <c r="D48" s="64"/>
      <c r="E48" s="64"/>
      <c r="F48" s="64"/>
      <c r="G48" s="54"/>
      <c r="H48" s="54"/>
      <c r="I48" s="54"/>
      <c r="J48" s="66"/>
      <c r="K48" s="66"/>
      <c r="L48" s="66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3.5" customHeight="1" thickTop="1" x14ac:dyDescent="0.2">
      <c r="A49" s="54"/>
      <c r="B49" s="54"/>
      <c r="C49" s="63"/>
      <c r="D49" s="253" t="s">
        <v>28</v>
      </c>
      <c r="E49" s="254"/>
      <c r="F49" s="255"/>
      <c r="G49" s="54"/>
      <c r="H49" s="54"/>
      <c r="I49" s="65"/>
      <c r="J49" s="262" t="s">
        <v>29</v>
      </c>
      <c r="K49" s="262"/>
      <c r="L49" s="26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x14ac:dyDescent="0.2">
      <c r="A50" s="54"/>
      <c r="B50" s="54"/>
      <c r="C50" s="63"/>
      <c r="D50" s="256"/>
      <c r="E50" s="257"/>
      <c r="F50" s="258"/>
      <c r="G50" s="54"/>
      <c r="H50" s="54"/>
      <c r="I50" s="65"/>
      <c r="J50" s="262"/>
      <c r="K50" s="262"/>
      <c r="L50" s="263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</row>
    <row r="51" spans="1:53" ht="13.5" thickBot="1" x14ac:dyDescent="0.25">
      <c r="A51" s="54"/>
      <c r="B51" s="54"/>
      <c r="C51" s="63"/>
      <c r="D51" s="259"/>
      <c r="E51" s="260"/>
      <c r="F51" s="261"/>
      <c r="G51" s="54"/>
      <c r="H51" s="54"/>
      <c r="I51" s="65"/>
      <c r="J51" s="264"/>
      <c r="K51" s="264"/>
      <c r="L51" s="265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</row>
    <row r="52" spans="1:53" ht="13.5" thickTop="1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</row>
    <row r="53" spans="1:53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</row>
    <row r="54" spans="1:53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</row>
    <row r="55" spans="1:53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</row>
    <row r="56" spans="1:53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</row>
    <row r="57" spans="1:53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</row>
    <row r="58" spans="1:53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</row>
    <row r="59" spans="1:53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</row>
    <row r="60" spans="1:53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</row>
    <row r="61" spans="1:53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</row>
    <row r="62" spans="1:53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</row>
    <row r="63" spans="1:53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</row>
    <row r="64" spans="1:53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</row>
    <row r="65" spans="1:53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</row>
    <row r="66" spans="1:53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</row>
    <row r="67" spans="1:53" x14ac:dyDescent="0.2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</row>
    <row r="68" spans="1:53" x14ac:dyDescent="0.2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</row>
    <row r="69" spans="1:53" x14ac:dyDescent="0.2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</row>
    <row r="70" spans="1:53" x14ac:dyDescent="0.2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</row>
    <row r="71" spans="1:53" x14ac:dyDescent="0.2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</row>
    <row r="72" spans="1:53" x14ac:dyDescent="0.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</row>
    <row r="73" spans="1:53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</row>
    <row r="74" spans="1:53" x14ac:dyDescent="0.2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</row>
    <row r="75" spans="1:53" x14ac:dyDescent="0.2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</row>
    <row r="76" spans="1:53" x14ac:dyDescent="0.2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</row>
    <row r="77" spans="1:53" x14ac:dyDescent="0.2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</row>
    <row r="78" spans="1:53" x14ac:dyDescent="0.2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</row>
    <row r="79" spans="1:53" x14ac:dyDescent="0.2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</row>
    <row r="80" spans="1:53" x14ac:dyDescent="0.2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</row>
    <row r="81" spans="1:53" x14ac:dyDescent="0.2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</row>
    <row r="82" spans="1:53" x14ac:dyDescent="0.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</row>
    <row r="83" spans="1:53" x14ac:dyDescent="0.2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</row>
    <row r="84" spans="1:53" x14ac:dyDescent="0.2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</row>
    <row r="85" spans="1:53" x14ac:dyDescent="0.2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</row>
    <row r="86" spans="1:53" x14ac:dyDescent="0.2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</row>
    <row r="87" spans="1:53" x14ac:dyDescent="0.2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</row>
    <row r="88" spans="1:53" x14ac:dyDescent="0.2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</row>
    <row r="89" spans="1:53" x14ac:dyDescent="0.2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</row>
    <row r="91" spans="1:53" x14ac:dyDescent="0.2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x14ac:dyDescent="0.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x14ac:dyDescent="0.2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x14ac:dyDescent="0.2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x14ac:dyDescent="0.2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x14ac:dyDescent="0.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x14ac:dyDescent="0.2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x14ac:dyDescent="0.2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</row>
    <row r="106" spans="1:53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</row>
    <row r="107" spans="1:53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</row>
    <row r="108" spans="1:53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</row>
    <row r="109" spans="1:53" x14ac:dyDescent="0.2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</row>
    <row r="110" spans="1:53" x14ac:dyDescent="0.2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</row>
    <row r="111" spans="1:53" x14ac:dyDescent="0.2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</row>
    <row r="112" spans="1:53" x14ac:dyDescent="0.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</row>
    <row r="113" spans="1:53" x14ac:dyDescent="0.2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</row>
    <row r="114" spans="1:53" x14ac:dyDescent="0.2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</row>
    <row r="115" spans="1:53" x14ac:dyDescent="0.2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</row>
    <row r="116" spans="1:53" x14ac:dyDescent="0.2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</row>
    <row r="117" spans="1:53" x14ac:dyDescent="0.2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</row>
    <row r="118" spans="1:53" x14ac:dyDescent="0.2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</row>
    <row r="119" spans="1:53" x14ac:dyDescent="0.2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</row>
    <row r="120" spans="1:53" x14ac:dyDescent="0.2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</row>
    <row r="121" spans="1:53" x14ac:dyDescent="0.2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</row>
    <row r="122" spans="1:53" x14ac:dyDescent="0.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</row>
    <row r="123" spans="1:53" x14ac:dyDescent="0.2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</row>
    <row r="124" spans="1:53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</row>
    <row r="125" spans="1:53" x14ac:dyDescent="0.2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</row>
    <row r="126" spans="1:53" x14ac:dyDescent="0.2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</row>
    <row r="127" spans="1:53" x14ac:dyDescent="0.2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</row>
    <row r="128" spans="1:53" x14ac:dyDescent="0.2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</row>
    <row r="129" spans="1:53" x14ac:dyDescent="0.2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</row>
    <row r="130" spans="1:53" x14ac:dyDescent="0.2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</row>
    <row r="131" spans="1:53" x14ac:dyDescent="0.2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</row>
    <row r="132" spans="1:53" x14ac:dyDescent="0.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</row>
    <row r="133" spans="1:53" x14ac:dyDescent="0.2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</row>
    <row r="134" spans="1:53" x14ac:dyDescent="0.2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</row>
    <row r="135" spans="1:53" x14ac:dyDescent="0.2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</row>
    <row r="136" spans="1:53" x14ac:dyDescent="0.2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</row>
    <row r="137" spans="1:53" x14ac:dyDescent="0.2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</row>
    <row r="138" spans="1:53" x14ac:dyDescent="0.2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</row>
    <row r="139" spans="1:53" x14ac:dyDescent="0.2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</row>
    <row r="140" spans="1:53" x14ac:dyDescent="0.2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</row>
    <row r="141" spans="1:53" x14ac:dyDescent="0.2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</row>
    <row r="142" spans="1:53" x14ac:dyDescent="0.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</row>
    <row r="143" spans="1:53" x14ac:dyDescent="0.2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</row>
    <row r="144" spans="1:53" x14ac:dyDescent="0.2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</row>
    <row r="145" spans="1:53" x14ac:dyDescent="0.2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</row>
    <row r="146" spans="1:53" x14ac:dyDescent="0.2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</row>
    <row r="147" spans="1:53" x14ac:dyDescent="0.2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</row>
    <row r="148" spans="1:53" x14ac:dyDescent="0.2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</row>
    <row r="149" spans="1:53" x14ac:dyDescent="0.2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</row>
    <row r="150" spans="1:53" x14ac:dyDescent="0.2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</row>
    <row r="151" spans="1:53" x14ac:dyDescent="0.2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</row>
    <row r="152" spans="1:53" x14ac:dyDescent="0.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</row>
    <row r="153" spans="1:53" x14ac:dyDescent="0.2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</row>
    <row r="154" spans="1:53" x14ac:dyDescent="0.2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</row>
    <row r="155" spans="1:53" x14ac:dyDescent="0.2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</row>
    <row r="156" spans="1:53" x14ac:dyDescent="0.2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</row>
    <row r="157" spans="1:53" x14ac:dyDescent="0.2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</row>
    <row r="158" spans="1:53" x14ac:dyDescent="0.2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</row>
    <row r="159" spans="1:53" x14ac:dyDescent="0.2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</row>
    <row r="160" spans="1:53" x14ac:dyDescent="0.2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</row>
    <row r="161" spans="1:53" x14ac:dyDescent="0.2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</row>
    <row r="162" spans="1:53" x14ac:dyDescent="0.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</row>
    <row r="163" spans="1:53" x14ac:dyDescent="0.2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</row>
    <row r="164" spans="1:53" x14ac:dyDescent="0.2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</row>
    <row r="165" spans="1:53" x14ac:dyDescent="0.2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</row>
    <row r="166" spans="1:53" x14ac:dyDescent="0.2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</row>
    <row r="167" spans="1:53" x14ac:dyDescent="0.2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</row>
    <row r="168" spans="1:53" x14ac:dyDescent="0.2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</row>
    <row r="169" spans="1:53" x14ac:dyDescent="0.2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</row>
    <row r="170" spans="1:53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</row>
    <row r="171" spans="1:53" x14ac:dyDescent="0.2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</row>
    <row r="172" spans="1:53" x14ac:dyDescent="0.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</row>
    <row r="173" spans="1:53" x14ac:dyDescent="0.2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</row>
    <row r="174" spans="1:53" x14ac:dyDescent="0.2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</row>
    <row r="175" spans="1:53" x14ac:dyDescent="0.2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</row>
    <row r="176" spans="1:53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</row>
    <row r="177" spans="1:53" x14ac:dyDescent="0.2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</row>
    <row r="178" spans="1:53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</row>
    <row r="179" spans="1:53" x14ac:dyDescent="0.2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</row>
    <row r="180" spans="1:53" x14ac:dyDescent="0.2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</row>
    <row r="181" spans="1:53" x14ac:dyDescent="0.2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</row>
    <row r="182" spans="1:53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</row>
    <row r="183" spans="1:53" x14ac:dyDescent="0.2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</row>
    <row r="184" spans="1:53" x14ac:dyDescent="0.2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</row>
    <row r="185" spans="1:53" x14ac:dyDescent="0.2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</row>
    <row r="186" spans="1:53" x14ac:dyDescent="0.2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</row>
    <row r="187" spans="1:53" x14ac:dyDescent="0.2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</row>
    <row r="188" spans="1:53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</row>
    <row r="189" spans="1:53" x14ac:dyDescent="0.2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</row>
    <row r="190" spans="1:53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</row>
    <row r="191" spans="1:53" x14ac:dyDescent="0.2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</row>
    <row r="192" spans="1:53" x14ac:dyDescent="0.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</row>
    <row r="193" spans="1:53" x14ac:dyDescent="0.2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</row>
    <row r="194" spans="1:53" x14ac:dyDescent="0.2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</row>
    <row r="195" spans="1:53" x14ac:dyDescent="0.2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</row>
    <row r="196" spans="1:53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</row>
    <row r="197" spans="1:53" x14ac:dyDescent="0.2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</row>
    <row r="198" spans="1:53" x14ac:dyDescent="0.2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</row>
    <row r="199" spans="1:53" x14ac:dyDescent="0.2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</row>
    <row r="200" spans="1:53" x14ac:dyDescent="0.2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</row>
    <row r="201" spans="1:53" x14ac:dyDescent="0.2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</row>
    <row r="202" spans="1:53" x14ac:dyDescent="0.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</row>
    <row r="203" spans="1:53" x14ac:dyDescent="0.2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</row>
    <row r="204" spans="1:53" x14ac:dyDescent="0.2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</row>
    <row r="205" spans="1:53" x14ac:dyDescent="0.2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</row>
    <row r="206" spans="1:53" x14ac:dyDescent="0.2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</row>
    <row r="207" spans="1:53" x14ac:dyDescent="0.2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</row>
    <row r="208" spans="1:53" x14ac:dyDescent="0.2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</row>
    <row r="209" spans="1:53" x14ac:dyDescent="0.2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</row>
    <row r="210" spans="1:53" x14ac:dyDescent="0.2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</row>
    <row r="211" spans="1:53" x14ac:dyDescent="0.2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</row>
    <row r="212" spans="1:53" x14ac:dyDescent="0.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</row>
    <row r="213" spans="1:53" x14ac:dyDescent="0.2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</row>
    <row r="214" spans="1:53" x14ac:dyDescent="0.2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</row>
    <row r="215" spans="1:53" x14ac:dyDescent="0.2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</row>
    <row r="216" spans="1:53" x14ac:dyDescent="0.2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</row>
    <row r="217" spans="1:53" x14ac:dyDescent="0.2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</row>
    <row r="218" spans="1:53" x14ac:dyDescent="0.2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</row>
    <row r="219" spans="1:53" x14ac:dyDescent="0.2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</row>
    <row r="220" spans="1:53" x14ac:dyDescent="0.2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</row>
    <row r="221" spans="1:53" x14ac:dyDescent="0.2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</row>
    <row r="222" spans="1:53" x14ac:dyDescent="0.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</row>
    <row r="223" spans="1:53" x14ac:dyDescent="0.2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</row>
    <row r="224" spans="1:53" x14ac:dyDescent="0.2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</row>
    <row r="225" spans="1:53" x14ac:dyDescent="0.2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</row>
    <row r="226" spans="1:53" x14ac:dyDescent="0.2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</row>
    <row r="227" spans="1:53" x14ac:dyDescent="0.2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</row>
    <row r="228" spans="1:53" x14ac:dyDescent="0.2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</row>
    <row r="229" spans="1:53" x14ac:dyDescent="0.2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</row>
    <row r="230" spans="1:53" x14ac:dyDescent="0.2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</row>
    <row r="231" spans="1:53" x14ac:dyDescent="0.2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</row>
    <row r="232" spans="1:53" x14ac:dyDescent="0.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</row>
    <row r="233" spans="1:53" x14ac:dyDescent="0.2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</row>
    <row r="234" spans="1:53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</row>
    <row r="235" spans="1:53" x14ac:dyDescent="0.2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</row>
    <row r="236" spans="1:53" x14ac:dyDescent="0.2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</row>
    <row r="237" spans="1:53" x14ac:dyDescent="0.2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</row>
    <row r="238" spans="1:53" x14ac:dyDescent="0.2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</row>
    <row r="239" spans="1:53" x14ac:dyDescent="0.2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</row>
    <row r="240" spans="1:53" x14ac:dyDescent="0.2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</row>
    <row r="241" spans="1:53" x14ac:dyDescent="0.2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</row>
    <row r="242" spans="1:53" x14ac:dyDescent="0.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</row>
    <row r="243" spans="1:53" x14ac:dyDescent="0.2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</row>
    <row r="244" spans="1:53" x14ac:dyDescent="0.2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</row>
    <row r="245" spans="1:53" x14ac:dyDescent="0.2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</row>
    <row r="246" spans="1:53" x14ac:dyDescent="0.2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</row>
    <row r="247" spans="1:53" x14ac:dyDescent="0.2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</row>
    <row r="248" spans="1:53" x14ac:dyDescent="0.2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</row>
    <row r="249" spans="1:53" x14ac:dyDescent="0.2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</row>
    <row r="250" spans="1:53" x14ac:dyDescent="0.2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</row>
    <row r="251" spans="1:53" x14ac:dyDescent="0.2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</row>
    <row r="252" spans="1:53" x14ac:dyDescent="0.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</row>
    <row r="253" spans="1:53" x14ac:dyDescent="0.2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</row>
    <row r="254" spans="1:53" x14ac:dyDescent="0.2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</row>
    <row r="255" spans="1:53" x14ac:dyDescent="0.2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</row>
    <row r="256" spans="1:53" x14ac:dyDescent="0.2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</row>
    <row r="257" spans="1:53" x14ac:dyDescent="0.2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</row>
    <row r="258" spans="1:53" x14ac:dyDescent="0.2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</row>
    <row r="259" spans="1:53" x14ac:dyDescent="0.2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</row>
    <row r="260" spans="1:53" x14ac:dyDescent="0.2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</row>
    <row r="261" spans="1:53" x14ac:dyDescent="0.2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</row>
    <row r="262" spans="1:53" x14ac:dyDescent="0.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</row>
    <row r="263" spans="1:53" x14ac:dyDescent="0.2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</row>
    <row r="264" spans="1:53" x14ac:dyDescent="0.2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</row>
    <row r="265" spans="1:53" x14ac:dyDescent="0.2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</row>
    <row r="266" spans="1:53" x14ac:dyDescent="0.2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</row>
    <row r="267" spans="1:53" x14ac:dyDescent="0.2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</row>
    <row r="268" spans="1:53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</row>
    <row r="269" spans="1:53" x14ac:dyDescent="0.2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</row>
    <row r="270" spans="1:53" x14ac:dyDescent="0.2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</row>
    <row r="271" spans="1:53" x14ac:dyDescent="0.2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</row>
    <row r="272" spans="1:53" x14ac:dyDescent="0.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</row>
    <row r="273" spans="1:53" x14ac:dyDescent="0.2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</row>
    <row r="274" spans="1:53" x14ac:dyDescent="0.2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</row>
    <row r="275" spans="1:53" x14ac:dyDescent="0.2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</row>
    <row r="276" spans="1:53" x14ac:dyDescent="0.2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</row>
    <row r="277" spans="1:53" x14ac:dyDescent="0.2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</row>
    <row r="278" spans="1:53" x14ac:dyDescent="0.2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</row>
    <row r="279" spans="1:53" x14ac:dyDescent="0.2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</row>
    <row r="280" spans="1:53" x14ac:dyDescent="0.2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</row>
    <row r="281" spans="1:53" x14ac:dyDescent="0.2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</row>
    <row r="282" spans="1:53" x14ac:dyDescent="0.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</row>
    <row r="283" spans="1:53" x14ac:dyDescent="0.2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</row>
    <row r="284" spans="1:53" x14ac:dyDescent="0.2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</row>
    <row r="285" spans="1:53" x14ac:dyDescent="0.2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</row>
    <row r="286" spans="1:53" x14ac:dyDescent="0.2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</row>
    <row r="287" spans="1:53" x14ac:dyDescent="0.2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</row>
    <row r="288" spans="1:53" x14ac:dyDescent="0.2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</row>
    <row r="289" spans="1:53" x14ac:dyDescent="0.2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</row>
    <row r="290" spans="1:53" x14ac:dyDescent="0.2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</row>
    <row r="291" spans="1:53" x14ac:dyDescent="0.2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</row>
    <row r="292" spans="1:53" x14ac:dyDescent="0.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</row>
    <row r="293" spans="1:53" x14ac:dyDescent="0.2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</row>
    <row r="294" spans="1:53" x14ac:dyDescent="0.2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</row>
    <row r="295" spans="1:53" x14ac:dyDescent="0.2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</row>
    <row r="296" spans="1:53" x14ac:dyDescent="0.2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</row>
    <row r="297" spans="1:53" x14ac:dyDescent="0.2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</row>
    <row r="298" spans="1:53" x14ac:dyDescent="0.2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</row>
    <row r="299" spans="1:53" x14ac:dyDescent="0.2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</row>
    <row r="300" spans="1:53" x14ac:dyDescent="0.2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</row>
    <row r="301" spans="1:53" x14ac:dyDescent="0.2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  <c r="BA301" s="54"/>
    </row>
    <row r="302" spans="1:53" x14ac:dyDescent="0.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</row>
    <row r="303" spans="1:53" x14ac:dyDescent="0.2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  <c r="BA303" s="54"/>
    </row>
    <row r="304" spans="1:53" x14ac:dyDescent="0.2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</row>
    <row r="305" spans="1:53" x14ac:dyDescent="0.2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</row>
    <row r="306" spans="1:53" x14ac:dyDescent="0.2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</row>
    <row r="307" spans="1:53" x14ac:dyDescent="0.2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  <c r="BA307" s="54"/>
    </row>
    <row r="308" spans="1:53" x14ac:dyDescent="0.2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</row>
    <row r="309" spans="1:53" x14ac:dyDescent="0.2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  <c r="BA309" s="54"/>
    </row>
    <row r="310" spans="1:53" x14ac:dyDescent="0.2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</row>
    <row r="311" spans="1:53" x14ac:dyDescent="0.2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</row>
    <row r="312" spans="1:53" x14ac:dyDescent="0.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</row>
    <row r="313" spans="1:53" x14ac:dyDescent="0.2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  <c r="BA313" s="54"/>
    </row>
    <row r="314" spans="1:53" x14ac:dyDescent="0.2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</row>
    <row r="315" spans="1:53" x14ac:dyDescent="0.2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</row>
    <row r="316" spans="1:53" x14ac:dyDescent="0.2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</row>
    <row r="317" spans="1:53" x14ac:dyDescent="0.2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</row>
    <row r="318" spans="1:53" x14ac:dyDescent="0.2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</row>
    <row r="319" spans="1:53" x14ac:dyDescent="0.2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</row>
    <row r="320" spans="1:53" x14ac:dyDescent="0.2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</row>
    <row r="321" spans="1:53" x14ac:dyDescent="0.2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</row>
    <row r="322" spans="1:53" x14ac:dyDescent="0.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</row>
    <row r="323" spans="1:53" x14ac:dyDescent="0.2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</row>
    <row r="324" spans="1:53" x14ac:dyDescent="0.2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</row>
    <row r="325" spans="1:53" x14ac:dyDescent="0.2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</row>
    <row r="326" spans="1:53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</row>
    <row r="327" spans="1:53" x14ac:dyDescent="0.2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</row>
    <row r="328" spans="1:53" x14ac:dyDescent="0.2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</row>
    <row r="329" spans="1:53" x14ac:dyDescent="0.2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</row>
    <row r="330" spans="1:53" x14ac:dyDescent="0.2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</row>
    <row r="331" spans="1:53" x14ac:dyDescent="0.2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</row>
    <row r="332" spans="1:53" x14ac:dyDescent="0.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</row>
    <row r="333" spans="1:53" x14ac:dyDescent="0.2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</row>
    <row r="334" spans="1:53" x14ac:dyDescent="0.2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</row>
    <row r="335" spans="1:53" x14ac:dyDescent="0.2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</row>
    <row r="336" spans="1:53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</row>
    <row r="337" spans="1:53" x14ac:dyDescent="0.2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</row>
    <row r="338" spans="1:53" x14ac:dyDescent="0.2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</row>
    <row r="339" spans="1:53" x14ac:dyDescent="0.2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</row>
    <row r="340" spans="1:53" x14ac:dyDescent="0.2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</row>
    <row r="341" spans="1:53" x14ac:dyDescent="0.2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</row>
    <row r="342" spans="1:53" x14ac:dyDescent="0.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</row>
    <row r="343" spans="1:53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  <c r="BA343" s="54"/>
    </row>
    <row r="344" spans="1:53" x14ac:dyDescent="0.2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</row>
    <row r="345" spans="1:53" x14ac:dyDescent="0.2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</row>
    <row r="346" spans="1:53" x14ac:dyDescent="0.2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</row>
    <row r="347" spans="1:53" x14ac:dyDescent="0.2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</row>
    <row r="348" spans="1:53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</row>
    <row r="349" spans="1:53" x14ac:dyDescent="0.2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</row>
    <row r="350" spans="1:53" x14ac:dyDescent="0.2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</row>
    <row r="351" spans="1:53" x14ac:dyDescent="0.2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54"/>
    </row>
    <row r="352" spans="1:53" x14ac:dyDescent="0.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</row>
    <row r="353" spans="1:53" x14ac:dyDescent="0.2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</row>
    <row r="354" spans="1:53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</row>
    <row r="355" spans="1:53" x14ac:dyDescent="0.2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</row>
    <row r="356" spans="1:53" x14ac:dyDescent="0.2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</row>
    <row r="357" spans="1:53" x14ac:dyDescent="0.2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</row>
    <row r="358" spans="1:53" x14ac:dyDescent="0.2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</row>
    <row r="359" spans="1:53" x14ac:dyDescent="0.2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</row>
    <row r="360" spans="1:53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</row>
    <row r="361" spans="1:53" x14ac:dyDescent="0.2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</row>
    <row r="362" spans="1:53" x14ac:dyDescent="0.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</row>
    <row r="363" spans="1:53" x14ac:dyDescent="0.2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</row>
    <row r="364" spans="1:53" x14ac:dyDescent="0.2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</row>
    <row r="365" spans="1:53" x14ac:dyDescent="0.2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</row>
    <row r="366" spans="1:53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</row>
    <row r="367" spans="1:53" x14ac:dyDescent="0.2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</row>
    <row r="368" spans="1:53" x14ac:dyDescent="0.2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</row>
    <row r="369" spans="1:53" x14ac:dyDescent="0.2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</row>
    <row r="370" spans="1:53" x14ac:dyDescent="0.2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</row>
    <row r="371" spans="1:53" x14ac:dyDescent="0.2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</row>
    <row r="372" spans="1:53" x14ac:dyDescent="0.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</row>
    <row r="373" spans="1:53" x14ac:dyDescent="0.2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</row>
    <row r="374" spans="1:53" x14ac:dyDescent="0.2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</row>
    <row r="375" spans="1:53" x14ac:dyDescent="0.2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</row>
    <row r="376" spans="1:53" x14ac:dyDescent="0.2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</row>
    <row r="377" spans="1:53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</row>
    <row r="378" spans="1:53" x14ac:dyDescent="0.2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</row>
    <row r="379" spans="1:53" x14ac:dyDescent="0.2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</row>
    <row r="380" spans="1:53" x14ac:dyDescent="0.2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</row>
    <row r="381" spans="1:53" x14ac:dyDescent="0.2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  <c r="AY381" s="54"/>
      <c r="AZ381" s="54"/>
      <c r="BA381" s="54"/>
    </row>
    <row r="382" spans="1:53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</row>
    <row r="383" spans="1:53" x14ac:dyDescent="0.2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  <c r="AY383" s="54"/>
      <c r="AZ383" s="54"/>
      <c r="BA383" s="54"/>
    </row>
    <row r="384" spans="1:53" x14ac:dyDescent="0.2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</row>
    <row r="385" spans="1:53" x14ac:dyDescent="0.2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  <c r="AY385" s="54"/>
      <c r="AZ385" s="54"/>
      <c r="BA385" s="54"/>
    </row>
    <row r="386" spans="1:53" x14ac:dyDescent="0.2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</row>
    <row r="387" spans="1:53" x14ac:dyDescent="0.2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</row>
    <row r="388" spans="1:53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</row>
    <row r="389" spans="1:53" x14ac:dyDescent="0.2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  <c r="BA389" s="54"/>
    </row>
    <row r="390" spans="1:53" x14ac:dyDescent="0.2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</row>
    <row r="391" spans="1:53" x14ac:dyDescent="0.2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</row>
    <row r="392" spans="1:53" x14ac:dyDescent="0.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</row>
    <row r="393" spans="1:53" x14ac:dyDescent="0.2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</row>
    <row r="394" spans="1:53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</row>
    <row r="395" spans="1:53" x14ac:dyDescent="0.2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</row>
    <row r="396" spans="1:53" x14ac:dyDescent="0.2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</row>
    <row r="397" spans="1:53" x14ac:dyDescent="0.2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</row>
    <row r="398" spans="1:53" x14ac:dyDescent="0.2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</row>
    <row r="399" spans="1:53" x14ac:dyDescent="0.2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</row>
    <row r="400" spans="1:53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</row>
    <row r="401" spans="1:53" x14ac:dyDescent="0.2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</row>
    <row r="402" spans="1:53" x14ac:dyDescent="0.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</row>
    <row r="403" spans="1:53" x14ac:dyDescent="0.2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  <c r="AY403" s="54"/>
      <c r="AZ403" s="54"/>
      <c r="BA403" s="54"/>
    </row>
    <row r="404" spans="1:53" x14ac:dyDescent="0.2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</row>
    <row r="405" spans="1:53" x14ac:dyDescent="0.2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  <c r="AY405" s="54"/>
      <c r="AZ405" s="54"/>
      <c r="BA405" s="54"/>
    </row>
    <row r="406" spans="1:53" x14ac:dyDescent="0.2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</row>
    <row r="407" spans="1:53" x14ac:dyDescent="0.2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</row>
    <row r="408" spans="1:53" x14ac:dyDescent="0.2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</row>
    <row r="409" spans="1:53" x14ac:dyDescent="0.2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</row>
    <row r="410" spans="1:53" x14ac:dyDescent="0.2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</row>
    <row r="411" spans="1:53" x14ac:dyDescent="0.2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</row>
    <row r="412" spans="1:53" x14ac:dyDescent="0.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</row>
    <row r="413" spans="1:53" x14ac:dyDescent="0.2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</row>
    <row r="414" spans="1:53" x14ac:dyDescent="0.2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</row>
    <row r="415" spans="1:53" x14ac:dyDescent="0.2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</row>
    <row r="416" spans="1:53" x14ac:dyDescent="0.2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</row>
    <row r="417" spans="1:53" x14ac:dyDescent="0.2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</row>
    <row r="418" spans="1:53" x14ac:dyDescent="0.2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</row>
    <row r="419" spans="1:53" x14ac:dyDescent="0.2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</row>
    <row r="420" spans="1:53" x14ac:dyDescent="0.2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</row>
    <row r="421" spans="1:53" x14ac:dyDescent="0.2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  <c r="AY421" s="54"/>
      <c r="AZ421" s="54"/>
      <c r="BA421" s="54"/>
    </row>
    <row r="422" spans="1:53" x14ac:dyDescent="0.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</row>
    <row r="423" spans="1:53" x14ac:dyDescent="0.2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  <c r="AY423" s="54"/>
      <c r="AZ423" s="54"/>
      <c r="BA423" s="54"/>
    </row>
  </sheetData>
  <mergeCells count="4">
    <mergeCell ref="D49:F51"/>
    <mergeCell ref="J49:L51"/>
    <mergeCell ref="C2:D2"/>
    <mergeCell ref="G2:L2"/>
  </mergeCells>
  <phoneticPr fontId="11" type="noConversion"/>
  <hyperlinks>
    <hyperlink ref="J49:L51" location="'Auswertung 3-Schicht'!K12" tooltip="3-Schichtfall" display="Auswertung als 3-Schichtfall (statistische Auswertung)" xr:uid="{00000000-0004-0000-0200-000000000000}"/>
    <hyperlink ref="D49:F51" location="'Auswertung 2-Schicht'!B8" display="Auswertung als 2-Schichtfall nach Hagedoorn (Plus-Minus-Methode)" xr:uid="{00000000-0004-0000-0200-000001000000}"/>
  </hyperlinks>
  <pageMargins left="0.78740157499999996" right="0.78740157499999996" top="0.984251969" bottom="0.984251969" header="0.4921259845" footer="0.492125984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>
    <tabColor indexed="11"/>
  </sheetPr>
  <dimension ref="A1:AC85"/>
  <sheetViews>
    <sheetView zoomScale="85" workbookViewId="0">
      <selection activeCell="F5" sqref="F5"/>
    </sheetView>
  </sheetViews>
  <sheetFormatPr baseColWidth="10" defaultColWidth="11.5703125" defaultRowHeight="12" x14ac:dyDescent="0.2"/>
  <cols>
    <col min="1" max="1" width="2.42578125" style="2" customWidth="1"/>
    <col min="2" max="4" width="11.42578125" style="4" customWidth="1"/>
    <col min="5" max="6" width="11.42578125" style="5" customWidth="1"/>
    <col min="7" max="8" width="11.5703125" style="5" customWidth="1"/>
    <col min="9" max="12" width="11.42578125" style="5" customWidth="1"/>
    <col min="13" max="13" width="13.42578125" style="5" bestFit="1" customWidth="1"/>
    <col min="14" max="14" width="11.5703125" style="3" customWidth="1"/>
    <col min="15" max="15" width="7.140625" style="2" customWidth="1"/>
    <col min="16" max="16" width="4.28515625" style="3" customWidth="1"/>
    <col min="17" max="16384" width="11.5703125" style="2"/>
  </cols>
  <sheetData>
    <row r="1" spans="1:29" ht="18.75" thickBot="1" x14ac:dyDescent="0.3">
      <c r="A1" s="29"/>
      <c r="B1" s="40"/>
      <c r="C1" s="26"/>
      <c r="D1" s="26"/>
      <c r="E1" s="27"/>
      <c r="F1" s="27"/>
      <c r="G1" s="27"/>
      <c r="H1" s="27"/>
      <c r="I1" s="27"/>
      <c r="J1" s="27"/>
      <c r="K1" s="108"/>
      <c r="L1" s="27"/>
      <c r="M1" s="27"/>
      <c r="N1" s="28"/>
      <c r="O1" s="29"/>
      <c r="P1" s="28"/>
      <c r="Q1" s="29"/>
      <c r="R1" s="60"/>
      <c r="S1" s="60"/>
      <c r="T1" s="29"/>
      <c r="U1" s="29" t="str">
        <f>Laufzeitkurven!P1</f>
        <v>Version 2.5, 48 channels</v>
      </c>
      <c r="V1" s="29"/>
      <c r="W1" s="29"/>
      <c r="X1" s="29"/>
      <c r="Y1" s="29"/>
      <c r="Z1" s="29"/>
      <c r="AA1" s="29"/>
      <c r="AB1" s="29"/>
      <c r="AC1" s="29"/>
    </row>
    <row r="2" spans="1:29" ht="12.75" customHeight="1" thickTop="1" thickBot="1" x14ac:dyDescent="0.25">
      <c r="A2" s="29"/>
      <c r="B2" s="36" t="s">
        <v>7</v>
      </c>
      <c r="C2" s="145" t="s">
        <v>59</v>
      </c>
      <c r="D2" s="145" t="s">
        <v>60</v>
      </c>
      <c r="E2" s="146" t="s">
        <v>55</v>
      </c>
      <c r="F2" s="147" t="s">
        <v>56</v>
      </c>
      <c r="G2" s="161" t="s">
        <v>7</v>
      </c>
      <c r="H2" s="151" t="s">
        <v>21</v>
      </c>
      <c r="I2" s="152" t="s">
        <v>57</v>
      </c>
      <c r="J2" s="153" t="s">
        <v>58</v>
      </c>
      <c r="K2" s="154" t="s">
        <v>64</v>
      </c>
      <c r="L2" s="155" t="s">
        <v>65</v>
      </c>
      <c r="M2" s="27"/>
      <c r="N2" s="18" t="s">
        <v>9</v>
      </c>
      <c r="O2" s="19">
        <f>IF(AND(C5="",D5=""),"",AVERAGE(C5,D5))</f>
        <v>557.41928651462786</v>
      </c>
      <c r="P2" s="20" t="s">
        <v>14</v>
      </c>
      <c r="Q2" s="58"/>
      <c r="R2" s="269" t="s">
        <v>34</v>
      </c>
      <c r="S2" s="270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spans="1:29" s="1" customFormat="1" ht="12" customHeight="1" x14ac:dyDescent="0.2">
      <c r="A3" s="35"/>
      <c r="B3" s="37" t="s">
        <v>19</v>
      </c>
      <c r="C3" s="163">
        <v>80</v>
      </c>
      <c r="D3" s="164">
        <v>96</v>
      </c>
      <c r="E3" s="165">
        <v>182</v>
      </c>
      <c r="F3" s="166">
        <v>0</v>
      </c>
      <c r="G3" s="181" t="s">
        <v>19</v>
      </c>
      <c r="H3" s="179">
        <v>10</v>
      </c>
      <c r="I3" s="167"/>
      <c r="J3" s="168"/>
      <c r="K3" s="169"/>
      <c r="L3" s="170"/>
      <c r="M3" s="27"/>
      <c r="N3" s="21" t="s">
        <v>10</v>
      </c>
      <c r="O3" s="15">
        <f>IF(AND(E5="",F5=""),"",AVERAGE(E5,F5))</f>
        <v>490.97888013770432</v>
      </c>
      <c r="P3" s="22" t="s">
        <v>14</v>
      </c>
      <c r="Q3" s="59"/>
      <c r="R3" s="271"/>
      <c r="S3" s="272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1:29" ht="12.75" customHeight="1" thickBot="1" x14ac:dyDescent="0.25">
      <c r="A4" s="29"/>
      <c r="B4" s="37" t="s">
        <v>20</v>
      </c>
      <c r="C4" s="171">
        <v>96</v>
      </c>
      <c r="D4" s="172">
        <v>113</v>
      </c>
      <c r="E4" s="173">
        <v>195</v>
      </c>
      <c r="F4" s="174">
        <v>10</v>
      </c>
      <c r="G4" s="182" t="s">
        <v>20</v>
      </c>
      <c r="H4" s="180">
        <v>178</v>
      </c>
      <c r="I4" s="175"/>
      <c r="J4" s="176"/>
      <c r="K4" s="177"/>
      <c r="L4" s="178"/>
      <c r="M4" s="27"/>
      <c r="N4" s="21" t="s">
        <v>11</v>
      </c>
      <c r="O4" s="15">
        <f>IF(AND(O3="",O2=""),"",AVERAGE(O3,O2))</f>
        <v>524.19908332616615</v>
      </c>
      <c r="P4" s="22" t="s">
        <v>14</v>
      </c>
      <c r="Q4" s="58"/>
      <c r="R4" s="273"/>
      <c r="S4" s="274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spans="1:29" ht="12.75" thickBot="1" x14ac:dyDescent="0.25">
      <c r="A5" s="29"/>
      <c r="B5" s="38" t="s">
        <v>8</v>
      </c>
      <c r="C5" s="148">
        <f>IF(C3="","",1000/ABS(SLOPE(Hilfsdaten!B4:B57,Hilfsdaten!$A4:$A57)))</f>
        <v>557.6029474087926</v>
      </c>
      <c r="D5" s="148">
        <f>IF(D3="","",1000/ABS(SLOPE(Hilfsdaten!C4:C57,Hilfsdaten!$A4:$A57)))</f>
        <v>557.23562562046311</v>
      </c>
      <c r="E5" s="149">
        <f>IF(E3="","",1000/ABS(SLOPE(Hilfsdaten!D4:D57,Hilfsdaten!$A4:$A57)))</f>
        <v>525.28946947610393</v>
      </c>
      <c r="F5" s="150">
        <f>IF(F3="","",1000/ABS(SLOPE(Hilfsdaten!E4:E57,Hilfsdaten!$A4:$A57)))</f>
        <v>456.66829079930466</v>
      </c>
      <c r="G5" s="162" t="s">
        <v>3</v>
      </c>
      <c r="H5" s="156">
        <f>IF(H3="","",2000/ABS(SLOPE(Hilfsdaten!F4:F57,Hilfsdaten!$A4:$A57)))</f>
        <v>2560.0778965705172</v>
      </c>
      <c r="I5" s="157" t="str">
        <f>IF(I3="","",1000/ABS(SLOPE(Hilfsdaten!H4:H57,Hilfsdaten!$A4:$A57)))</f>
        <v/>
      </c>
      <c r="J5" s="158" t="str">
        <f>IF(J3="","",1000/ABS(SLOPE(Hilfsdaten!I4:I57,Hilfsdaten!$A4:$A57)))</f>
        <v/>
      </c>
      <c r="K5" s="159" t="str">
        <f>IF(K3="","",1000/ABS(SLOPE(Hilfsdaten!J4:J57,Hilfsdaten!$A4:$A57)))</f>
        <v/>
      </c>
      <c r="L5" s="160" t="str">
        <f>IF(L3="","",1000/ABS(SLOPE(Hilfsdaten!K4:K57,Hilfsdaten!$A4:$A57)))</f>
        <v/>
      </c>
      <c r="M5" s="27"/>
      <c r="N5" s="21" t="s">
        <v>16</v>
      </c>
      <c r="O5" s="17">
        <f>H5</f>
        <v>2560.0778965705172</v>
      </c>
      <c r="P5" s="22" t="s">
        <v>14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2.75" thickBot="1" x14ac:dyDescent="0.25">
      <c r="A6" s="29"/>
      <c r="B6" s="32"/>
      <c r="C6" s="32"/>
      <c r="D6" s="32"/>
      <c r="E6" s="31"/>
      <c r="F6" s="31"/>
      <c r="G6" s="39" t="s">
        <v>13</v>
      </c>
      <c r="H6" s="106">
        <f>IF(H3="","",AVERAGE(Hilfsdaten!G4:G57))</f>
        <v>37.115247002025548</v>
      </c>
      <c r="I6" s="31"/>
      <c r="J6" s="31"/>
      <c r="K6" s="31"/>
      <c r="L6" s="31"/>
      <c r="M6" s="27"/>
      <c r="N6" s="21" t="s">
        <v>17</v>
      </c>
      <c r="O6" s="17" t="str">
        <f>IF(AND(I5="",J5="",K5="",L5=""),"",AVERAGE(I5:L5))</f>
        <v/>
      </c>
      <c r="P6" s="22" t="s">
        <v>14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spans="1:29" ht="12.75" thickBot="1" x14ac:dyDescent="0.25">
      <c r="A7" s="29"/>
      <c r="B7" s="276" t="s">
        <v>78</v>
      </c>
      <c r="C7" s="276"/>
      <c r="D7" s="276"/>
      <c r="E7" s="276"/>
      <c r="F7" s="276"/>
      <c r="G7" s="276"/>
      <c r="H7" s="27"/>
      <c r="J7" s="27"/>
      <c r="K7" s="27"/>
      <c r="L7" s="27"/>
      <c r="M7" s="27"/>
      <c r="N7" s="21" t="s">
        <v>18</v>
      </c>
      <c r="O7" s="15">
        <f>IF(AND(O6="",O5=""),"",AVERAGE(O6,O5))</f>
        <v>2560.0778965705172</v>
      </c>
      <c r="P7" s="22" t="s">
        <v>14</v>
      </c>
      <c r="Q7" s="29"/>
      <c r="R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spans="1:29" ht="12" customHeight="1" thickBot="1" x14ac:dyDescent="0.25">
      <c r="A8" s="29"/>
      <c r="B8" s="277" t="s">
        <v>79</v>
      </c>
      <c r="C8" s="277"/>
      <c r="D8" s="277"/>
      <c r="E8" s="277"/>
      <c r="F8" s="277"/>
      <c r="G8" s="278"/>
      <c r="H8" s="183">
        <v>1</v>
      </c>
      <c r="I8" s="53"/>
      <c r="J8" s="53"/>
      <c r="K8" s="53"/>
      <c r="L8" s="53"/>
      <c r="M8" s="27"/>
      <c r="N8" s="21" t="s">
        <v>13</v>
      </c>
      <c r="O8" s="16">
        <f>H6</f>
        <v>37.115247002025548</v>
      </c>
      <c r="P8" s="22" t="s">
        <v>15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spans="1:29" ht="12.75" customHeight="1" thickBot="1" x14ac:dyDescent="0.25">
      <c r="A9" s="29"/>
      <c r="B9" s="53"/>
      <c r="C9" s="53"/>
      <c r="D9" s="53"/>
      <c r="E9" s="53"/>
      <c r="F9" s="53"/>
      <c r="G9" s="53"/>
      <c r="H9" s="53"/>
      <c r="I9" s="53"/>
      <c r="J9" s="53"/>
      <c r="K9" s="70"/>
      <c r="L9" s="70"/>
      <c r="M9" s="27"/>
      <c r="N9" s="23" t="s">
        <v>12</v>
      </c>
      <c r="O9" s="24">
        <f>IF(O8="","",O8*O3*O5/(2000*SQRT(O5^2-O3^2)))</f>
        <v>9.2837314376308875</v>
      </c>
      <c r="P9" s="25" t="s">
        <v>0</v>
      </c>
      <c r="Q9" s="29"/>
      <c r="R9" s="29"/>
      <c r="S9" s="29"/>
      <c r="T9" s="28"/>
      <c r="U9" s="143"/>
      <c r="V9" s="29"/>
      <c r="W9" s="29"/>
      <c r="X9" s="29"/>
      <c r="Y9" s="29"/>
      <c r="Z9" s="29"/>
      <c r="AA9" s="29"/>
      <c r="AB9" s="29"/>
      <c r="AC9" s="29"/>
    </row>
    <row r="10" spans="1:29" ht="12" customHeight="1" x14ac:dyDescent="0.2">
      <c r="A10" s="29"/>
      <c r="B10" s="275" t="s">
        <v>86</v>
      </c>
      <c r="C10" s="275"/>
      <c r="D10" s="275"/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  <c r="P10" s="275"/>
      <c r="Q10" s="53"/>
      <c r="R10" s="53"/>
      <c r="S10" s="53"/>
      <c r="T10" s="53"/>
      <c r="U10" s="29"/>
      <c r="V10" s="29"/>
      <c r="W10" s="29"/>
      <c r="X10" s="29"/>
      <c r="Y10" s="29"/>
      <c r="Z10" s="29"/>
      <c r="AA10" s="29"/>
      <c r="AB10" s="29"/>
      <c r="AC10" s="29"/>
    </row>
    <row r="11" spans="1:29" ht="12" customHeight="1" x14ac:dyDescent="0.2">
      <c r="A11" s="29"/>
      <c r="B11" s="26"/>
      <c r="C11" s="26"/>
      <c r="D11" s="26"/>
      <c r="E11" s="27"/>
      <c r="F11" s="27"/>
      <c r="G11" s="27"/>
      <c r="H11" s="27"/>
      <c r="I11" s="27"/>
      <c r="J11" s="27"/>
      <c r="K11" s="27"/>
      <c r="L11" s="27"/>
      <c r="M11" s="31"/>
      <c r="N11" s="29"/>
      <c r="O11" s="28"/>
      <c r="P11" s="28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spans="1:29" x14ac:dyDescent="0.2">
      <c r="A12" s="29"/>
      <c r="B12" s="26"/>
      <c r="C12" s="26"/>
      <c r="D12" s="26"/>
      <c r="E12" s="27"/>
      <c r="F12" s="27"/>
      <c r="G12" s="27"/>
      <c r="H12" s="27"/>
      <c r="I12" s="27"/>
      <c r="J12" s="27"/>
      <c r="K12" s="27"/>
      <c r="L12" s="27"/>
      <c r="M12" s="27"/>
      <c r="N12" s="29"/>
      <c r="O12" s="28"/>
      <c r="P12" s="28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spans="1:29" x14ac:dyDescent="0.2">
      <c r="A13" s="29"/>
      <c r="B13" s="26"/>
      <c r="C13" s="26"/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9"/>
      <c r="O13" s="28"/>
      <c r="P13" s="28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spans="1:29" x14ac:dyDescent="0.2">
      <c r="A14" s="29"/>
      <c r="B14" s="26"/>
      <c r="C14" s="26"/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9"/>
      <c r="O14" s="28"/>
      <c r="P14" s="28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spans="1:29" x14ac:dyDescent="0.2">
      <c r="A15" s="29"/>
      <c r="B15" s="26"/>
      <c r="C15" s="26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9"/>
      <c r="O15" s="28"/>
      <c r="P15" s="28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spans="1:29" x14ac:dyDescent="0.2">
      <c r="A16" s="29"/>
      <c r="B16" s="26"/>
      <c r="C16" s="26"/>
      <c r="D16" s="26"/>
      <c r="E16" s="27"/>
      <c r="F16" s="27"/>
      <c r="G16" s="27"/>
      <c r="H16" s="27"/>
      <c r="I16" s="27"/>
      <c r="J16" s="27"/>
      <c r="K16" s="27"/>
      <c r="L16" s="27"/>
      <c r="M16" s="27"/>
      <c r="N16" s="29"/>
      <c r="O16" s="28"/>
      <c r="P16" s="28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spans="1:29" x14ac:dyDescent="0.2">
      <c r="A17" s="29"/>
      <c r="B17" s="26"/>
      <c r="C17" s="26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9"/>
      <c r="O17" s="28"/>
      <c r="P17" s="28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spans="1:29" x14ac:dyDescent="0.2">
      <c r="A18" s="29"/>
      <c r="B18" s="26"/>
      <c r="C18" s="26"/>
      <c r="D18" s="26"/>
      <c r="E18" s="27"/>
      <c r="F18" s="27"/>
      <c r="G18" s="27"/>
      <c r="H18" s="27"/>
      <c r="I18" s="27"/>
      <c r="J18" s="27"/>
      <c r="K18" s="27"/>
      <c r="L18" s="27"/>
      <c r="M18" s="27"/>
      <c r="N18" s="29"/>
      <c r="O18" s="28"/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spans="1:29" x14ac:dyDescent="0.2">
      <c r="A19" s="29"/>
      <c r="B19" s="26"/>
      <c r="C19" s="26"/>
      <c r="D19" s="26"/>
      <c r="E19" s="27"/>
      <c r="F19" s="27"/>
      <c r="G19" s="27"/>
      <c r="H19" s="27"/>
      <c r="I19" s="27"/>
      <c r="J19" s="27"/>
      <c r="K19" s="27"/>
      <c r="L19" s="27"/>
      <c r="M19" s="27"/>
      <c r="N19" s="29"/>
      <c r="O19" s="28"/>
      <c r="P19" s="28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spans="1:29" x14ac:dyDescent="0.2">
      <c r="A20" s="29"/>
      <c r="B20" s="26"/>
      <c r="C20" s="26"/>
      <c r="D20" s="26"/>
      <c r="E20" s="27"/>
      <c r="F20" s="27"/>
      <c r="G20" s="27"/>
      <c r="H20" s="27"/>
      <c r="I20" s="27"/>
      <c r="J20" s="27"/>
      <c r="K20" s="27"/>
      <c r="L20" s="27"/>
      <c r="M20" s="27"/>
      <c r="N20" s="29"/>
      <c r="O20" s="28"/>
      <c r="P20" s="28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spans="1:29" x14ac:dyDescent="0.2">
      <c r="A21" s="29"/>
      <c r="B21" s="26"/>
      <c r="C21" s="26"/>
      <c r="D21" s="26"/>
      <c r="E21" s="27"/>
      <c r="F21" s="27"/>
      <c r="G21" s="27"/>
      <c r="H21" s="27"/>
      <c r="I21" s="27"/>
      <c r="J21" s="27"/>
      <c r="K21" s="27"/>
      <c r="L21" s="27"/>
      <c r="M21" s="27"/>
      <c r="N21" s="29"/>
      <c r="O21" s="28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spans="1:29" x14ac:dyDescent="0.2">
      <c r="A22" s="29"/>
      <c r="B22" s="26"/>
      <c r="C22" s="26"/>
      <c r="D22" s="26"/>
      <c r="E22" s="27"/>
      <c r="F22" s="27"/>
      <c r="G22" s="27"/>
      <c r="H22" s="27"/>
      <c r="I22" s="27"/>
      <c r="J22" s="27"/>
      <c r="K22" s="27"/>
      <c r="L22" s="27"/>
      <c r="M22" s="27"/>
      <c r="N22" s="29"/>
      <c r="O22" s="28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 spans="1:29" x14ac:dyDescent="0.2">
      <c r="A23" s="29"/>
      <c r="B23" s="26"/>
      <c r="C23" s="26"/>
      <c r="D23" s="26"/>
      <c r="E23" s="27"/>
      <c r="F23" s="27"/>
      <c r="G23" s="27"/>
      <c r="H23" s="27"/>
      <c r="I23" s="27"/>
      <c r="J23" s="27"/>
      <c r="K23" s="27"/>
      <c r="L23" s="27"/>
      <c r="M23" s="27"/>
      <c r="N23" s="29"/>
      <c r="O23" s="28"/>
      <c r="P23" s="28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spans="1:29" x14ac:dyDescent="0.2">
      <c r="A24" s="29"/>
      <c r="B24" s="26"/>
      <c r="C24" s="26"/>
      <c r="D24" s="26"/>
      <c r="E24" s="27"/>
      <c r="F24" s="27"/>
      <c r="G24" s="27"/>
      <c r="H24" s="27"/>
      <c r="I24" s="27"/>
      <c r="J24" s="27"/>
      <c r="K24" s="27"/>
      <c r="L24" s="27"/>
      <c r="M24" s="27"/>
      <c r="N24" s="29"/>
      <c r="O24" s="28"/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 spans="1:29" x14ac:dyDescent="0.2">
      <c r="A25" s="29"/>
      <c r="B25" s="26"/>
      <c r="C25" s="26"/>
      <c r="D25" s="26"/>
      <c r="E25" s="27"/>
      <c r="F25" s="27"/>
      <c r="G25" s="27"/>
      <c r="H25" s="27"/>
      <c r="I25" s="27"/>
      <c r="J25" s="27"/>
      <c r="K25" s="27"/>
      <c r="L25" s="27"/>
      <c r="M25" s="27"/>
      <c r="N25" s="29"/>
      <c r="O25" s="28"/>
      <c r="P25" s="28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 spans="1:29" x14ac:dyDescent="0.2">
      <c r="A26" s="29"/>
      <c r="B26" s="26"/>
      <c r="C26" s="26"/>
      <c r="D26" s="26"/>
      <c r="E26" s="27"/>
      <c r="F26" s="27"/>
      <c r="G26" s="27"/>
      <c r="H26" s="27"/>
      <c r="I26" s="27"/>
      <c r="J26" s="27"/>
      <c r="K26" s="27"/>
      <c r="L26" s="27"/>
      <c r="M26" s="27"/>
      <c r="N26" s="29"/>
      <c r="O26" s="28"/>
      <c r="P26" s="2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spans="1:29" x14ac:dyDescent="0.2">
      <c r="A27" s="29"/>
      <c r="B27" s="26"/>
      <c r="C27" s="26"/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9"/>
      <c r="O27" s="28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spans="1:29" x14ac:dyDescent="0.2">
      <c r="A28" s="29"/>
      <c r="B28" s="26"/>
      <c r="C28" s="26"/>
      <c r="D28" s="26"/>
      <c r="E28" s="27"/>
      <c r="F28" s="27"/>
      <c r="G28" s="27"/>
      <c r="H28" s="27"/>
      <c r="I28" s="27"/>
      <c r="J28" s="27"/>
      <c r="K28" s="27"/>
      <c r="L28" s="27"/>
      <c r="M28" s="27"/>
      <c r="N28" s="29"/>
      <c r="O28" s="28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spans="1:29" x14ac:dyDescent="0.2">
      <c r="A29" s="29"/>
      <c r="B29" s="26"/>
      <c r="C29" s="26"/>
      <c r="D29" s="26"/>
      <c r="E29" s="27"/>
      <c r="F29" s="27"/>
      <c r="G29" s="27"/>
      <c r="H29" s="27"/>
      <c r="I29" s="27"/>
      <c r="J29" s="27"/>
      <c r="K29" s="27"/>
      <c r="L29" s="27"/>
      <c r="M29" s="27"/>
      <c r="N29" s="29"/>
      <c r="O29" s="28"/>
      <c r="P29" s="28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spans="1:29" x14ac:dyDescent="0.2">
      <c r="A30" s="29"/>
      <c r="B30" s="26"/>
      <c r="C30" s="26"/>
      <c r="D30" s="26"/>
      <c r="E30" s="27"/>
      <c r="F30" s="27"/>
      <c r="G30" s="27"/>
      <c r="H30" s="27"/>
      <c r="I30" s="27"/>
      <c r="J30" s="27"/>
      <c r="K30" s="27"/>
      <c r="L30" s="27"/>
      <c r="M30" s="27"/>
      <c r="N30" s="29"/>
      <c r="O30" s="28"/>
      <c r="P30" s="28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spans="1:29" x14ac:dyDescent="0.2">
      <c r="A31" s="29"/>
      <c r="B31" s="26"/>
      <c r="C31" s="26"/>
      <c r="D31" s="26"/>
      <c r="E31" s="27"/>
      <c r="F31" s="27"/>
      <c r="G31" s="27"/>
      <c r="H31" s="27"/>
      <c r="I31" s="27"/>
      <c r="J31" s="27"/>
      <c r="K31" s="27"/>
      <c r="L31" s="27"/>
      <c r="M31" s="27"/>
      <c r="N31" s="29"/>
      <c r="O31" s="28"/>
      <c r="P31" s="28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 spans="1:29" x14ac:dyDescent="0.2">
      <c r="A32" s="29"/>
      <c r="B32" s="26"/>
      <c r="C32" s="26"/>
      <c r="D32" s="26"/>
      <c r="E32" s="27"/>
      <c r="F32" s="27"/>
      <c r="G32" s="27"/>
      <c r="H32" s="27"/>
      <c r="I32" s="27"/>
      <c r="J32" s="27"/>
      <c r="K32" s="27"/>
      <c r="L32" s="27"/>
      <c r="M32" s="27"/>
      <c r="N32" s="33"/>
      <c r="O32" s="28"/>
      <c r="P32" s="28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spans="1:29" x14ac:dyDescent="0.2">
      <c r="A33" s="29"/>
      <c r="B33" s="26"/>
      <c r="C33" s="26"/>
      <c r="D33" s="26"/>
      <c r="E33" s="27"/>
      <c r="F33" s="27"/>
      <c r="G33" s="27"/>
      <c r="H33" s="27"/>
      <c r="I33" s="27"/>
      <c r="J33" s="27"/>
      <c r="K33" s="27"/>
      <c r="L33" s="27"/>
      <c r="M33" s="27"/>
      <c r="N33" s="29"/>
      <c r="O33" s="28"/>
      <c r="P33" s="28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spans="1:29" x14ac:dyDescent="0.2">
      <c r="A34" s="29"/>
      <c r="B34" s="26"/>
      <c r="C34" s="26"/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9"/>
      <c r="O34" s="28"/>
      <c r="P34" s="28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spans="1:29" x14ac:dyDescent="0.2">
      <c r="A35" s="29"/>
      <c r="B35" s="26"/>
      <c r="C35" s="26"/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9"/>
      <c r="O35" s="28"/>
      <c r="P35" s="28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 spans="1:29" x14ac:dyDescent="0.2">
      <c r="A36" s="29"/>
      <c r="B36" s="26"/>
      <c r="C36" s="26"/>
      <c r="D36" s="26"/>
      <c r="E36" s="27"/>
      <c r="F36" s="27"/>
      <c r="G36" s="27"/>
      <c r="H36" s="27"/>
      <c r="I36" s="27"/>
      <c r="J36" s="27"/>
      <c r="K36" s="27"/>
      <c r="L36" s="27"/>
      <c r="M36" s="27"/>
      <c r="N36" s="29"/>
      <c r="O36" s="28"/>
      <c r="P36" s="28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spans="1:29" x14ac:dyDescent="0.2">
      <c r="A37" s="29"/>
      <c r="B37" s="26"/>
      <c r="C37" s="26"/>
      <c r="D37" s="26"/>
      <c r="E37" s="27"/>
      <c r="F37" s="27"/>
      <c r="G37" s="27"/>
      <c r="H37" s="27"/>
      <c r="I37" s="27"/>
      <c r="J37" s="27"/>
      <c r="K37" s="27"/>
      <c r="L37" s="27"/>
      <c r="M37" s="27"/>
      <c r="N37" s="29"/>
      <c r="O37" s="28"/>
      <c r="P37" s="28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spans="1:29" x14ac:dyDescent="0.2">
      <c r="A38" s="29"/>
      <c r="B38" s="26"/>
      <c r="C38" s="26"/>
      <c r="D38" s="26"/>
      <c r="E38" s="27"/>
      <c r="F38" s="27"/>
      <c r="G38" s="27"/>
      <c r="H38" s="27"/>
      <c r="I38" s="27"/>
      <c r="J38" s="27"/>
      <c r="K38" s="27"/>
      <c r="L38" s="27"/>
      <c r="M38" s="27"/>
      <c r="N38" s="29"/>
      <c r="O38" s="28"/>
      <c r="P38" s="28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spans="1:29" x14ac:dyDescent="0.2">
      <c r="A39" s="29"/>
      <c r="B39" s="26"/>
      <c r="C39" s="26"/>
      <c r="D39" s="26"/>
      <c r="E39" s="27"/>
      <c r="F39" s="27"/>
      <c r="G39" s="27"/>
      <c r="H39" s="27"/>
      <c r="I39" s="27"/>
      <c r="J39" s="27"/>
      <c r="K39" s="27"/>
      <c r="L39" s="27"/>
      <c r="M39" s="27"/>
      <c r="N39" s="29"/>
      <c r="O39" s="28"/>
      <c r="P39" s="28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 spans="1:29" x14ac:dyDescent="0.2">
      <c r="A40" s="29"/>
      <c r="B40" s="26"/>
      <c r="C40" s="26"/>
      <c r="D40" s="26"/>
      <c r="E40" s="27"/>
      <c r="F40" s="27"/>
      <c r="G40" s="27"/>
      <c r="H40" s="27"/>
      <c r="I40" s="27"/>
      <c r="J40" s="27"/>
      <c r="K40" s="27"/>
      <c r="L40" s="27"/>
      <c r="M40" s="27"/>
      <c r="N40" s="29"/>
      <c r="O40" s="28"/>
      <c r="P40" s="28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spans="1:29" x14ac:dyDescent="0.2">
      <c r="A41" s="29"/>
      <c r="B41" s="26"/>
      <c r="C41" s="26"/>
      <c r="D41" s="26"/>
      <c r="E41" s="27"/>
      <c r="F41" s="27"/>
      <c r="G41" s="27"/>
      <c r="H41" s="27"/>
      <c r="I41" s="27"/>
      <c r="J41" s="27"/>
      <c r="K41" s="27"/>
      <c r="L41" s="27"/>
      <c r="M41" s="27"/>
      <c r="N41" s="29"/>
      <c r="O41" s="28"/>
      <c r="P41" s="28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 spans="1:29" x14ac:dyDescent="0.2">
      <c r="A42" s="29"/>
      <c r="B42" s="26"/>
      <c r="C42" s="26"/>
      <c r="D42" s="26"/>
      <c r="E42" s="27"/>
      <c r="F42" s="27"/>
      <c r="G42" s="27"/>
      <c r="H42" s="27"/>
      <c r="I42" s="27"/>
      <c r="J42" s="27"/>
      <c r="K42" s="27"/>
      <c r="L42" s="27"/>
      <c r="M42" s="27"/>
      <c r="N42" s="29"/>
      <c r="O42" s="28"/>
      <c r="P42" s="28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 spans="1:29" x14ac:dyDescent="0.2">
      <c r="A43" s="29"/>
      <c r="B43" s="26"/>
      <c r="C43" s="26"/>
      <c r="D43" s="26"/>
      <c r="E43" s="27"/>
      <c r="F43" s="27"/>
      <c r="G43" s="27"/>
      <c r="H43" s="27"/>
      <c r="I43" s="27"/>
      <c r="J43" s="27"/>
      <c r="K43" s="27"/>
      <c r="L43" s="27"/>
      <c r="M43" s="27"/>
      <c r="N43" s="29"/>
      <c r="O43" s="28"/>
      <c r="P43" s="28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spans="1:29" x14ac:dyDescent="0.2">
      <c r="A44" s="29"/>
      <c r="B44" s="26"/>
      <c r="C44" s="26"/>
      <c r="D44" s="26"/>
      <c r="E44" s="27"/>
      <c r="F44" s="27"/>
      <c r="G44" s="27"/>
      <c r="H44" s="27"/>
      <c r="I44" s="27"/>
      <c r="J44" s="27"/>
      <c r="K44" s="27"/>
      <c r="L44" s="27"/>
      <c r="M44" s="27"/>
      <c r="N44" s="29"/>
      <c r="O44" s="28"/>
      <c r="P44" s="28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spans="1:29" x14ac:dyDescent="0.2">
      <c r="A45" s="29"/>
      <c r="B45" s="26"/>
      <c r="C45" s="26"/>
      <c r="D45" s="26"/>
      <c r="E45" s="27"/>
      <c r="F45" s="27"/>
      <c r="G45" s="27"/>
      <c r="H45" s="27"/>
      <c r="I45" s="27"/>
      <c r="J45" s="27"/>
      <c r="K45" s="27"/>
      <c r="L45" s="27"/>
      <c r="M45" s="27"/>
      <c r="N45" s="29"/>
      <c r="O45" s="28"/>
      <c r="P45" s="28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spans="1:29" x14ac:dyDescent="0.2">
      <c r="A46" s="29"/>
      <c r="B46" s="26"/>
      <c r="C46" s="26"/>
      <c r="D46" s="26"/>
      <c r="E46" s="27"/>
      <c r="F46" s="27"/>
      <c r="G46" s="27"/>
      <c r="H46" s="27"/>
      <c r="I46" s="27"/>
      <c r="J46" s="27"/>
      <c r="K46" s="27"/>
      <c r="L46" s="27"/>
      <c r="M46" s="27"/>
      <c r="N46" s="29"/>
      <c r="O46" s="28"/>
      <c r="P46" s="28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spans="1:29" x14ac:dyDescent="0.2">
      <c r="A47" s="29"/>
      <c r="B47" s="26"/>
      <c r="C47" s="26"/>
      <c r="D47" s="26"/>
      <c r="E47" s="27"/>
      <c r="F47" s="27"/>
      <c r="G47" s="27"/>
      <c r="H47" s="27"/>
      <c r="I47" s="27"/>
      <c r="J47" s="27"/>
      <c r="K47" s="27"/>
      <c r="L47" s="27"/>
      <c r="M47" s="27"/>
      <c r="N47" s="29"/>
      <c r="O47" s="28"/>
      <c r="P47" s="28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 spans="1:29" x14ac:dyDescent="0.2">
      <c r="A48" s="29"/>
      <c r="B48" s="26"/>
      <c r="C48" s="26"/>
      <c r="D48" s="26"/>
      <c r="E48" s="27"/>
      <c r="F48" s="27"/>
      <c r="G48" s="27"/>
      <c r="H48" s="27"/>
      <c r="I48" s="27"/>
      <c r="J48" s="27"/>
      <c r="K48" s="27"/>
      <c r="L48" s="27"/>
      <c r="M48" s="27"/>
      <c r="N48" s="29"/>
      <c r="O48" s="28"/>
      <c r="P48" s="28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spans="1:29" x14ac:dyDescent="0.2">
      <c r="A49" s="29"/>
      <c r="B49" s="26"/>
      <c r="C49" s="26"/>
      <c r="D49" s="26"/>
      <c r="E49" s="27"/>
      <c r="F49" s="27"/>
      <c r="G49" s="27"/>
      <c r="H49" s="27"/>
      <c r="I49" s="27"/>
      <c r="J49" s="27"/>
      <c r="K49" s="27"/>
      <c r="L49" s="27"/>
      <c r="M49" s="27"/>
      <c r="N49" s="29"/>
      <c r="O49" s="28"/>
      <c r="P49" s="28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spans="1:29" x14ac:dyDescent="0.2">
      <c r="A50" s="29"/>
      <c r="B50" s="26"/>
      <c r="C50" s="26"/>
      <c r="D50" s="26"/>
      <c r="E50" s="27"/>
      <c r="F50" s="27"/>
      <c r="G50" s="27"/>
      <c r="H50" s="27"/>
      <c r="I50" s="27"/>
      <c r="J50" s="27"/>
      <c r="K50" s="27"/>
      <c r="L50" s="27"/>
      <c r="M50" s="27"/>
      <c r="N50" s="29"/>
      <c r="O50" s="28"/>
      <c r="P50" s="28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 spans="1:29" x14ac:dyDescent="0.2">
      <c r="A51" s="29"/>
      <c r="B51" s="26"/>
      <c r="C51" s="26"/>
      <c r="D51" s="26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6"/>
      <c r="P51" s="27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 spans="1:29" x14ac:dyDescent="0.2">
      <c r="A52" s="29"/>
      <c r="B52" s="26"/>
      <c r="C52" s="26"/>
      <c r="D52" s="26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6"/>
      <c r="P52" s="27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spans="1:29" x14ac:dyDescent="0.2">
      <c r="A53" s="29"/>
      <c r="B53" s="26"/>
      <c r="C53" s="26"/>
      <c r="D53" s="26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6"/>
      <c r="P53" s="27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 spans="1:29" ht="12.75" customHeight="1" x14ac:dyDescent="0.2">
      <c r="A54" s="29"/>
      <c r="B54" s="26"/>
      <c r="C54" s="26"/>
      <c r="D54" s="26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6"/>
      <c r="P54" s="27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 spans="1:29" ht="12.75" customHeight="1" x14ac:dyDescent="0.2">
      <c r="A55" s="29"/>
      <c r="B55" s="26"/>
      <c r="C55" s="26"/>
      <c r="D55" s="26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30"/>
      <c r="P55" s="30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spans="1:29" s="3" customFormat="1" ht="12.75" customHeight="1" x14ac:dyDescent="0.2">
      <c r="A56" s="28"/>
      <c r="B56" s="26"/>
      <c r="C56" s="26"/>
      <c r="D56" s="26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32"/>
      <c r="P56" s="34"/>
      <c r="Q56" s="30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spans="1:29" s="1" customFormat="1" x14ac:dyDescent="0.2">
      <c r="A57" s="35"/>
      <c r="B57" s="26"/>
      <c r="C57" s="26"/>
      <c r="D57" s="26"/>
      <c r="E57" s="27"/>
      <c r="F57" s="27"/>
      <c r="G57" s="27"/>
      <c r="H57" s="27"/>
      <c r="I57" s="27"/>
      <c r="J57" s="27"/>
      <c r="K57" s="27"/>
      <c r="L57" s="27"/>
      <c r="M57" s="27"/>
      <c r="N57" s="28"/>
      <c r="O57" s="29"/>
      <c r="P57" s="29"/>
      <c r="Q57" s="32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</row>
    <row r="58" spans="1:29" x14ac:dyDescent="0.2">
      <c r="A58" s="29"/>
      <c r="B58" s="26"/>
      <c r="C58" s="26"/>
      <c r="D58" s="26"/>
      <c r="E58" s="27"/>
      <c r="F58" s="27"/>
      <c r="G58" s="27"/>
      <c r="H58" s="27"/>
      <c r="I58" s="27"/>
      <c r="J58" s="27"/>
      <c r="K58" s="27"/>
      <c r="L58" s="27"/>
      <c r="M58" s="27"/>
      <c r="N58" s="28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spans="1:29" x14ac:dyDescent="0.2">
      <c r="A59" s="29"/>
      <c r="B59" s="26"/>
      <c r="C59" s="26"/>
      <c r="D59" s="26"/>
      <c r="E59" s="27"/>
      <c r="F59" s="27"/>
      <c r="G59" s="27"/>
      <c r="H59" s="27"/>
      <c r="I59" s="27"/>
      <c r="J59" s="27"/>
      <c r="K59" s="27"/>
      <c r="L59" s="27"/>
      <c r="M59" s="27"/>
      <c r="N59" s="28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 spans="1:29" x14ac:dyDescent="0.2">
      <c r="A60" s="29"/>
      <c r="B60" s="26"/>
      <c r="C60" s="26"/>
      <c r="D60" s="26"/>
      <c r="E60" s="27"/>
      <c r="F60" s="27"/>
      <c r="G60" s="27"/>
      <c r="H60" s="27"/>
      <c r="I60" s="27"/>
      <c r="J60" s="27"/>
      <c r="K60" s="27"/>
      <c r="L60" s="27"/>
      <c r="M60" s="27"/>
      <c r="N60" s="28"/>
      <c r="O60" s="29"/>
      <c r="P60" s="28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 spans="1:29" x14ac:dyDescent="0.2">
      <c r="A61" s="29"/>
      <c r="B61" s="26"/>
      <c r="C61" s="26"/>
      <c r="D61" s="26"/>
      <c r="E61" s="27"/>
      <c r="F61" s="27"/>
      <c r="G61" s="27"/>
      <c r="H61" s="27"/>
      <c r="I61" s="27"/>
      <c r="J61" s="27"/>
      <c r="K61" s="27"/>
      <c r="L61" s="27"/>
      <c r="M61" s="27"/>
      <c r="N61" s="28"/>
      <c r="O61" s="29"/>
      <c r="P61" s="28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spans="1:29" x14ac:dyDescent="0.2">
      <c r="A62" s="29"/>
      <c r="B62" s="26"/>
      <c r="C62" s="26"/>
      <c r="D62" s="26"/>
      <c r="E62" s="27"/>
      <c r="F62" s="27"/>
      <c r="G62" s="27"/>
      <c r="H62" s="27"/>
      <c r="I62" s="27"/>
      <c r="J62" s="27"/>
      <c r="K62" s="27"/>
      <c r="L62" s="27"/>
      <c r="M62" s="27"/>
      <c r="N62" s="28"/>
      <c r="O62" s="29"/>
      <c r="P62" s="28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 spans="1:29" x14ac:dyDescent="0.2">
      <c r="A63" s="29"/>
      <c r="B63" s="26"/>
      <c r="C63" s="26"/>
      <c r="D63" s="26"/>
      <c r="E63" s="27"/>
      <c r="F63" s="27"/>
      <c r="G63" s="27"/>
      <c r="H63" s="27"/>
      <c r="I63" s="27"/>
      <c r="J63" s="27"/>
      <c r="K63" s="27"/>
      <c r="L63" s="27"/>
      <c r="M63" s="27"/>
      <c r="N63" s="28"/>
      <c r="O63" s="29"/>
      <c r="P63" s="28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 spans="1:29" x14ac:dyDescent="0.2">
      <c r="A64" s="29"/>
      <c r="B64" s="26"/>
      <c r="C64" s="26"/>
      <c r="D64" s="26"/>
      <c r="E64" s="27"/>
      <c r="F64" s="27"/>
      <c r="G64" s="27"/>
      <c r="H64" s="27"/>
      <c r="I64" s="27"/>
      <c r="J64" s="27"/>
      <c r="K64" s="27"/>
      <c r="L64" s="27"/>
      <c r="M64" s="27"/>
      <c r="N64" s="28"/>
      <c r="O64" s="29"/>
      <c r="P64" s="28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spans="1:29" x14ac:dyDescent="0.2">
      <c r="A65" s="29"/>
      <c r="B65" s="26"/>
      <c r="C65" s="26"/>
      <c r="D65" s="26"/>
      <c r="E65" s="27"/>
      <c r="F65" s="27"/>
      <c r="G65" s="27"/>
      <c r="H65" s="27"/>
      <c r="I65" s="27"/>
      <c r="J65" s="27"/>
      <c r="K65" s="27"/>
      <c r="L65" s="27"/>
      <c r="M65" s="27"/>
      <c r="N65" s="28"/>
      <c r="O65" s="29"/>
      <c r="P65" s="28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 spans="1:29" x14ac:dyDescent="0.2">
      <c r="A66" s="29"/>
      <c r="B66" s="26"/>
      <c r="C66" s="26"/>
      <c r="D66" s="26"/>
      <c r="E66" s="27"/>
      <c r="F66" s="27"/>
      <c r="G66" s="27"/>
      <c r="H66" s="27"/>
      <c r="I66" s="27"/>
      <c r="J66" s="27"/>
      <c r="K66" s="27"/>
      <c r="L66" s="27"/>
      <c r="M66" s="27"/>
      <c r="N66" s="28"/>
      <c r="O66" s="29"/>
      <c r="P66" s="28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 spans="1:29" x14ac:dyDescent="0.2">
      <c r="A67" s="29"/>
      <c r="B67" s="26"/>
      <c r="C67" s="26"/>
      <c r="D67" s="26"/>
      <c r="E67" s="27"/>
      <c r="F67" s="27"/>
      <c r="G67" s="27"/>
      <c r="H67" s="27"/>
      <c r="I67" s="27"/>
      <c r="J67" s="27"/>
      <c r="K67" s="27"/>
      <c r="L67" s="27"/>
      <c r="M67" s="27"/>
      <c r="N67" s="28"/>
      <c r="O67" s="29"/>
      <c r="P67" s="28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spans="1:29" x14ac:dyDescent="0.2">
      <c r="A68" s="29"/>
      <c r="B68" s="26"/>
      <c r="C68" s="26"/>
      <c r="D68" s="26"/>
      <c r="E68" s="27"/>
      <c r="F68" s="27"/>
      <c r="G68" s="27"/>
      <c r="H68" s="27"/>
      <c r="I68" s="27"/>
      <c r="J68" s="27"/>
      <c r="K68" s="27"/>
      <c r="L68" s="27"/>
      <c r="M68" s="27"/>
      <c r="N68" s="28"/>
      <c r="O68" s="29"/>
      <c r="P68" s="28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 spans="1:29" x14ac:dyDescent="0.2">
      <c r="A69" s="29"/>
      <c r="B69" s="26"/>
      <c r="C69" s="26"/>
      <c r="D69" s="26"/>
      <c r="E69" s="27"/>
      <c r="F69" s="27"/>
      <c r="G69" s="27"/>
      <c r="H69" s="27"/>
      <c r="I69" s="27"/>
      <c r="J69" s="27"/>
      <c r="K69" s="27"/>
      <c r="L69" s="27"/>
      <c r="M69" s="27"/>
      <c r="N69" s="28"/>
      <c r="O69" s="29"/>
      <c r="P69" s="28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 spans="1:29" x14ac:dyDescent="0.2">
      <c r="A70" s="29"/>
      <c r="B70" s="26"/>
      <c r="C70" s="26"/>
      <c r="D70" s="26"/>
      <c r="E70" s="27"/>
      <c r="F70" s="27"/>
      <c r="G70" s="27"/>
      <c r="H70" s="27"/>
      <c r="I70" s="27"/>
      <c r="J70" s="27"/>
      <c r="K70" s="27"/>
      <c r="L70" s="27"/>
      <c r="M70" s="27"/>
      <c r="N70" s="28"/>
      <c r="O70" s="29"/>
      <c r="P70" s="28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spans="1:29" x14ac:dyDescent="0.2">
      <c r="A71" s="29"/>
      <c r="B71" s="26"/>
      <c r="C71" s="26"/>
      <c r="D71" s="26"/>
      <c r="E71" s="27"/>
      <c r="F71" s="27"/>
      <c r="G71" s="27"/>
      <c r="H71" s="27"/>
      <c r="I71" s="27"/>
      <c r="J71" s="27"/>
      <c r="K71" s="27"/>
      <c r="L71" s="27"/>
      <c r="M71" s="27"/>
      <c r="N71" s="28"/>
      <c r="O71" s="29"/>
      <c r="P71" s="28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 spans="1:29" x14ac:dyDescent="0.2">
      <c r="A72" s="29"/>
      <c r="B72" s="26"/>
      <c r="C72" s="26"/>
      <c r="D72" s="26"/>
      <c r="E72" s="27"/>
      <c r="F72" s="27"/>
      <c r="G72" s="27"/>
      <c r="H72" s="27"/>
      <c r="I72" s="27"/>
      <c r="J72" s="27"/>
      <c r="K72" s="27"/>
      <c r="L72" s="27"/>
      <c r="M72" s="27"/>
      <c r="N72" s="28"/>
      <c r="O72" s="29"/>
      <c r="P72" s="28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 spans="1:29" x14ac:dyDescent="0.2">
      <c r="A73" s="29"/>
      <c r="B73" s="26"/>
      <c r="C73" s="26"/>
      <c r="D73" s="26"/>
      <c r="E73" s="27"/>
      <c r="F73" s="27"/>
      <c r="G73" s="27"/>
      <c r="H73" s="27"/>
      <c r="I73" s="27"/>
      <c r="J73" s="27"/>
      <c r="K73" s="27"/>
      <c r="L73" s="27"/>
      <c r="M73" s="27"/>
      <c r="N73" s="28"/>
      <c r="O73" s="29"/>
      <c r="P73" s="28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 spans="1:29" x14ac:dyDescent="0.2">
      <c r="A74" s="29"/>
      <c r="B74" s="26"/>
      <c r="C74" s="26"/>
      <c r="D74" s="26"/>
      <c r="E74" s="27"/>
      <c r="F74" s="27"/>
      <c r="G74" s="27"/>
      <c r="H74" s="27"/>
      <c r="I74" s="27"/>
      <c r="J74" s="27"/>
      <c r="K74" s="27"/>
      <c r="L74" s="27"/>
      <c r="M74" s="27"/>
      <c r="N74" s="28"/>
      <c r="O74" s="29"/>
      <c r="P74" s="28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 spans="1:29" x14ac:dyDescent="0.2">
      <c r="A75" s="29"/>
      <c r="B75" s="26"/>
      <c r="C75" s="26"/>
      <c r="D75" s="26"/>
      <c r="E75" s="27"/>
      <c r="F75" s="27"/>
      <c r="G75" s="27"/>
      <c r="H75" s="27"/>
      <c r="I75" s="27"/>
      <c r="J75" s="27"/>
      <c r="K75" s="27"/>
      <c r="L75" s="27"/>
      <c r="M75" s="27"/>
      <c r="N75" s="28"/>
      <c r="O75" s="29"/>
      <c r="P75" s="28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 spans="1:29" x14ac:dyDescent="0.2">
      <c r="A76" s="29"/>
      <c r="B76" s="26"/>
      <c r="C76" s="26"/>
      <c r="D76" s="26"/>
      <c r="E76" s="27"/>
      <c r="F76" s="27"/>
      <c r="G76" s="27"/>
      <c r="H76" s="27"/>
      <c r="I76" s="27"/>
      <c r="J76" s="27"/>
      <c r="K76" s="27"/>
      <c r="L76" s="27"/>
      <c r="M76" s="27"/>
      <c r="N76" s="28"/>
      <c r="O76" s="29"/>
      <c r="P76" s="28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 spans="1:29" x14ac:dyDescent="0.2">
      <c r="A77" s="29"/>
      <c r="B77" s="26"/>
      <c r="C77" s="26"/>
      <c r="D77" s="26"/>
      <c r="E77" s="27"/>
      <c r="F77" s="27"/>
      <c r="G77" s="27"/>
      <c r="H77" s="27"/>
      <c r="I77" s="27"/>
      <c r="J77" s="27"/>
      <c r="K77" s="27"/>
      <c r="L77" s="27"/>
      <c r="M77" s="27"/>
      <c r="N77" s="28"/>
      <c r="O77" s="29"/>
      <c r="P77" s="28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 spans="1:29" x14ac:dyDescent="0.2">
      <c r="A78" s="29"/>
      <c r="B78" s="26"/>
      <c r="C78" s="26"/>
      <c r="D78" s="26"/>
      <c r="E78" s="27"/>
      <c r="F78" s="27"/>
      <c r="G78" s="27"/>
      <c r="H78" s="27"/>
      <c r="I78" s="27"/>
      <c r="J78" s="27"/>
      <c r="K78" s="27"/>
      <c r="L78" s="27"/>
      <c r="M78" s="27"/>
      <c r="N78" s="28"/>
      <c r="O78" s="29"/>
      <c r="P78" s="28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 spans="1:29" x14ac:dyDescent="0.2">
      <c r="A79" s="29"/>
      <c r="B79" s="26"/>
      <c r="C79" s="26"/>
      <c r="D79" s="26"/>
      <c r="E79" s="27"/>
      <c r="F79" s="27"/>
      <c r="G79" s="27"/>
      <c r="H79" s="27"/>
      <c r="I79" s="27"/>
      <c r="J79" s="27"/>
      <c r="K79" s="27"/>
      <c r="L79" s="27"/>
      <c r="M79" s="27"/>
      <c r="N79" s="28"/>
      <c r="O79" s="29"/>
      <c r="P79" s="28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 spans="1:29" x14ac:dyDescent="0.2">
      <c r="A80" s="29"/>
      <c r="B80" s="26"/>
      <c r="C80" s="26"/>
      <c r="D80" s="26"/>
      <c r="E80" s="27"/>
      <c r="F80" s="27"/>
      <c r="G80" s="27"/>
      <c r="H80" s="27"/>
      <c r="I80" s="27"/>
      <c r="J80" s="27"/>
      <c r="K80" s="27"/>
      <c r="L80" s="27"/>
      <c r="M80" s="27"/>
      <c r="N80" s="28"/>
      <c r="O80" s="29"/>
      <c r="P80" s="28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 spans="1:29" x14ac:dyDescent="0.2">
      <c r="A81" s="29"/>
      <c r="B81" s="26"/>
      <c r="C81" s="26"/>
      <c r="D81" s="26"/>
      <c r="E81" s="27"/>
      <c r="F81" s="27"/>
      <c r="G81" s="27"/>
      <c r="H81" s="27"/>
      <c r="I81" s="27"/>
      <c r="J81" s="27"/>
      <c r="K81" s="27"/>
      <c r="L81" s="27"/>
      <c r="M81" s="27"/>
      <c r="N81" s="28"/>
      <c r="O81" s="29"/>
      <c r="P81" s="28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 spans="1:29" x14ac:dyDescent="0.2">
      <c r="A82" s="29"/>
      <c r="B82" s="26"/>
      <c r="C82" s="26"/>
      <c r="D82" s="26"/>
      <c r="E82" s="27"/>
      <c r="F82" s="27"/>
      <c r="G82" s="27"/>
      <c r="H82" s="27"/>
      <c r="I82" s="27"/>
      <c r="J82" s="27"/>
      <c r="K82" s="27"/>
      <c r="L82" s="27"/>
      <c r="M82" s="27"/>
      <c r="N82" s="28"/>
      <c r="O82" s="29"/>
      <c r="P82" s="28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 spans="1:29" x14ac:dyDescent="0.2">
      <c r="A83" s="29"/>
      <c r="B83" s="26"/>
      <c r="C83" s="26"/>
      <c r="D83" s="26"/>
      <c r="E83" s="27"/>
      <c r="F83" s="27"/>
      <c r="G83" s="27"/>
      <c r="H83" s="27"/>
      <c r="I83" s="27"/>
      <c r="J83" s="27"/>
      <c r="K83" s="27"/>
      <c r="L83" s="27"/>
      <c r="M83" s="27"/>
      <c r="N83" s="28"/>
      <c r="O83" s="29"/>
      <c r="P83" s="28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 spans="1:29" x14ac:dyDescent="0.2">
      <c r="A84" s="29"/>
      <c r="M84" s="27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 spans="1:29" x14ac:dyDescent="0.2">
      <c r="A85" s="29"/>
    </row>
  </sheetData>
  <mergeCells count="4">
    <mergeCell ref="R2:S4"/>
    <mergeCell ref="B10:P10"/>
    <mergeCell ref="B7:G7"/>
    <mergeCell ref="B8:G8"/>
  </mergeCells>
  <phoneticPr fontId="0" type="noConversion"/>
  <conditionalFormatting sqref="C3:F4">
    <cfRule type="expression" dxfId="6" priority="1" stopIfTrue="1">
      <formula>ISBLANK(C3)</formula>
    </cfRule>
  </conditionalFormatting>
  <conditionalFormatting sqref="C5:F5 I5:L5 H5:H6">
    <cfRule type="cellIs" dxfId="5" priority="35" stopIfTrue="1" operator="notBetween">
      <formula>0</formula>
      <formula>9999</formula>
    </cfRule>
  </conditionalFormatting>
  <conditionalFormatting sqref="H3:L4">
    <cfRule type="expression" dxfId="4" priority="9" stopIfTrue="1">
      <formula>ISBLANK(H3)</formula>
    </cfRule>
  </conditionalFormatting>
  <hyperlinks>
    <hyperlink ref="R2:S4" location="Fit!A1" display="Darstellung der theoretischen LZK mit Picks" xr:uid="{00000000-0004-0000-0300-000000000000}"/>
  </hyperlinks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>
    <tabColor indexed="10"/>
  </sheetPr>
  <dimension ref="A1:AD85"/>
  <sheetViews>
    <sheetView tabSelected="1" zoomScale="85" zoomScaleNormal="85" workbookViewId="0">
      <selection activeCell="N4" sqref="N4"/>
    </sheetView>
  </sheetViews>
  <sheetFormatPr baseColWidth="10" defaultColWidth="11.5703125" defaultRowHeight="12" x14ac:dyDescent="0.2"/>
  <cols>
    <col min="1" max="2" width="2.42578125" style="2" customWidth="1"/>
    <col min="3" max="5" width="11.42578125" style="4" customWidth="1"/>
    <col min="6" max="7" width="11.42578125" style="5" customWidth="1"/>
    <col min="8" max="9" width="11.5703125" style="5" customWidth="1"/>
    <col min="10" max="13" width="11.42578125" style="5" customWidth="1"/>
    <col min="14" max="14" width="13.42578125" style="5" bestFit="1" customWidth="1"/>
    <col min="15" max="15" width="11.5703125" style="3" customWidth="1"/>
    <col min="16" max="16" width="7.140625" style="2" customWidth="1"/>
    <col min="17" max="17" width="4.28515625" style="3" customWidth="1"/>
    <col min="18" max="16384" width="11.5703125" style="2"/>
  </cols>
  <sheetData>
    <row r="1" spans="1:30" ht="18.75" thickBot="1" x14ac:dyDescent="0.3">
      <c r="A1" s="29"/>
      <c r="B1" s="29"/>
      <c r="C1" s="40"/>
      <c r="D1" s="26"/>
      <c r="E1" s="26"/>
      <c r="F1" s="27"/>
      <c r="G1" s="27"/>
      <c r="H1" s="27"/>
      <c r="I1" s="27"/>
      <c r="J1" s="44"/>
      <c r="K1" s="44"/>
      <c r="L1" s="44"/>
      <c r="M1" s="28"/>
      <c r="N1" s="29"/>
      <c r="O1" s="28"/>
      <c r="P1" s="29"/>
      <c r="Q1" s="29"/>
      <c r="R1" s="60"/>
      <c r="S1" s="60"/>
      <c r="T1" s="29"/>
      <c r="U1" s="29" t="str">
        <f>Laufzeitkurven!P1</f>
        <v>Version 2.5, 48 channels</v>
      </c>
      <c r="V1" s="29"/>
      <c r="W1" s="29"/>
      <c r="X1" s="29"/>
      <c r="Y1" s="29"/>
      <c r="Z1" s="29"/>
      <c r="AA1" s="29"/>
      <c r="AB1" s="29"/>
      <c r="AC1" s="29"/>
    </row>
    <row r="2" spans="1:30" ht="12.75" customHeight="1" thickTop="1" thickBot="1" x14ac:dyDescent="0.25">
      <c r="A2" s="29"/>
      <c r="B2" s="35"/>
      <c r="C2" s="36" t="s">
        <v>7</v>
      </c>
      <c r="D2" s="145" t="s">
        <v>59</v>
      </c>
      <c r="E2" s="145" t="s">
        <v>60</v>
      </c>
      <c r="F2" s="146" t="s">
        <v>55</v>
      </c>
      <c r="G2" s="147" t="s">
        <v>56</v>
      </c>
      <c r="H2" s="152" t="s">
        <v>57</v>
      </c>
      <c r="I2" s="153" t="s">
        <v>58</v>
      </c>
      <c r="J2" s="154" t="s">
        <v>64</v>
      </c>
      <c r="K2" s="155" t="s">
        <v>65</v>
      </c>
      <c r="L2" s="44"/>
      <c r="M2" s="18" t="s">
        <v>9</v>
      </c>
      <c r="N2" s="19">
        <f>IF(AND(D5="",E5=""),"",AVERAGE(D5,E5))</f>
        <v>557.41928651462786</v>
      </c>
      <c r="O2" s="20" t="s">
        <v>14</v>
      </c>
      <c r="P2" s="29"/>
      <c r="Q2" s="61"/>
      <c r="R2" s="288" t="s">
        <v>34</v>
      </c>
      <c r="S2" s="272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spans="1:30" s="1" customFormat="1" ht="12" customHeight="1" x14ac:dyDescent="0.2">
      <c r="A3" s="35"/>
      <c r="B3" s="279" t="s">
        <v>8</v>
      </c>
      <c r="C3" s="37" t="s">
        <v>19</v>
      </c>
      <c r="D3" s="163">
        <v>80</v>
      </c>
      <c r="E3" s="164">
        <v>96</v>
      </c>
      <c r="F3" s="165">
        <v>177</v>
      </c>
      <c r="G3" s="166">
        <v>0</v>
      </c>
      <c r="H3" s="167"/>
      <c r="I3" s="168"/>
      <c r="J3" s="169"/>
      <c r="K3" s="170"/>
      <c r="L3" s="45"/>
      <c r="M3" s="21" t="s">
        <v>10</v>
      </c>
      <c r="N3" s="15">
        <f>IF(AND(G5="",F5=""),"",AVERAGE(G5,F5))</f>
        <v>514.2405524540244</v>
      </c>
      <c r="O3" s="22" t="s">
        <v>14</v>
      </c>
      <c r="P3" s="35"/>
      <c r="Q3" s="62"/>
      <c r="R3" s="288"/>
      <c r="S3" s="272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1:30" ht="12.75" customHeight="1" thickBot="1" x14ac:dyDescent="0.25">
      <c r="A4" s="29"/>
      <c r="B4" s="280"/>
      <c r="C4" s="37" t="s">
        <v>20</v>
      </c>
      <c r="D4" s="171">
        <v>96</v>
      </c>
      <c r="E4" s="172">
        <v>113</v>
      </c>
      <c r="F4" s="173">
        <v>193</v>
      </c>
      <c r="G4" s="174">
        <v>10</v>
      </c>
      <c r="H4" s="175"/>
      <c r="I4" s="176"/>
      <c r="J4" s="177"/>
      <c r="K4" s="178"/>
      <c r="L4" s="45"/>
      <c r="M4" s="21" t="s">
        <v>11</v>
      </c>
      <c r="N4" s="15">
        <f>IF(AND(N3="",N2=""),"",AVERAGE(N3,N2,H5:K5))</f>
        <v>535.82991948432618</v>
      </c>
      <c r="O4" s="22" t="s">
        <v>14</v>
      </c>
      <c r="P4" s="29"/>
      <c r="Q4" s="61"/>
      <c r="R4" s="289"/>
      <c r="S4" s="274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spans="1:30" ht="12.75" thickBot="1" x14ac:dyDescent="0.25">
      <c r="A5" s="29"/>
      <c r="B5" s="281"/>
      <c r="C5" s="140" t="s">
        <v>8</v>
      </c>
      <c r="D5" s="184">
        <f>IF(D3="","",1000/ABS(SLOPE(Hilfsdaten!W4:W57,Hilfsdaten!$A4:$A57)))</f>
        <v>557.6029474087926</v>
      </c>
      <c r="E5" s="184">
        <f>IF(E3="","",1000/ABS(SLOPE(Hilfsdaten!X4:X57,Hilfsdaten!$A4:$A57)))</f>
        <v>557.23562562046311</v>
      </c>
      <c r="F5" s="185">
        <f>IF(F3="","",1000/ABS(SLOPE(Hilfsdaten!Y4:Y57,Hilfsdaten!$A4:$A57)))</f>
        <v>571.81281410874408</v>
      </c>
      <c r="G5" s="186">
        <f>IF(G3="","",1000/ABS(SLOPE(Hilfsdaten!Z4:Z57,Hilfsdaten!$A4:$A57)))</f>
        <v>456.66829079930466</v>
      </c>
      <c r="H5" s="187" t="str">
        <f>IF(H3="","",1000/ABS(SLOPE(Hilfsdaten!AA4:AA57,Hilfsdaten!$A4:$A57)))</f>
        <v/>
      </c>
      <c r="I5" s="188" t="str">
        <f>IF(I3="","",1000/ABS(SLOPE(Hilfsdaten!AB4:AB57,Hilfsdaten!$A4:$A57)))</f>
        <v/>
      </c>
      <c r="J5" s="189" t="str">
        <f>IF(J3="","",1000/ABS(SLOPE(Hilfsdaten!AC4:AC57,Hilfsdaten!$A4:$A57)))</f>
        <v/>
      </c>
      <c r="K5" s="190" t="str">
        <f>IF(K3="","",1000/ABS(SLOPE(Hilfsdaten!AD4:AD57,Hilfsdaten!$A4:$A57)))</f>
        <v/>
      </c>
      <c r="L5" s="46"/>
      <c r="M5" s="21" t="s">
        <v>18</v>
      </c>
      <c r="N5" s="15">
        <f>IF(AND(D8="",E8="",F8="",G8="",H8="",I8="",J8="",K8=""),"",AVERAGE(D8:K8))</f>
        <v>1840.4324480609507</v>
      </c>
      <c r="O5" s="22" t="s">
        <v>14</v>
      </c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30" ht="12.75" thickTop="1" x14ac:dyDescent="0.2">
      <c r="A6" s="29"/>
      <c r="B6" s="282" t="s">
        <v>3</v>
      </c>
      <c r="C6" s="50" t="s">
        <v>19</v>
      </c>
      <c r="D6" s="163">
        <v>10</v>
      </c>
      <c r="E6" s="164">
        <v>112</v>
      </c>
      <c r="F6" s="165">
        <v>107</v>
      </c>
      <c r="G6" s="166">
        <v>10</v>
      </c>
      <c r="H6" s="167"/>
      <c r="I6" s="168"/>
      <c r="J6" s="169"/>
      <c r="K6" s="170"/>
      <c r="L6" s="31"/>
      <c r="M6" s="21" t="s">
        <v>13</v>
      </c>
      <c r="N6" s="16">
        <f>IF(AND(D9="",E9="",F9="",G9="",H9="",I9="",J9="",K9=""),"",AVERAGE(D9:K9))</f>
        <v>21.54997087101594</v>
      </c>
      <c r="O6" s="22" t="s">
        <v>15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spans="1:30" ht="12.75" thickBot="1" x14ac:dyDescent="0.25">
      <c r="A7" s="29"/>
      <c r="B7" s="283"/>
      <c r="C7" s="37" t="s">
        <v>20</v>
      </c>
      <c r="D7" s="171">
        <v>80</v>
      </c>
      <c r="E7" s="172">
        <v>177</v>
      </c>
      <c r="F7" s="173">
        <v>178</v>
      </c>
      <c r="G7" s="174">
        <v>75</v>
      </c>
      <c r="H7" s="175"/>
      <c r="I7" s="176"/>
      <c r="J7" s="177"/>
      <c r="K7" s="178"/>
      <c r="L7" s="27"/>
      <c r="M7" s="21" t="s">
        <v>12</v>
      </c>
      <c r="N7" s="67">
        <f>IF(N6="","",N4*N6/(2000*COS(ASIN(N4/N5))))</f>
        <v>6.0349993856071196</v>
      </c>
      <c r="O7" s="22" t="s">
        <v>0</v>
      </c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spans="1:30" x14ac:dyDescent="0.2">
      <c r="A8" s="29"/>
      <c r="B8" s="284"/>
      <c r="C8" s="47" t="s">
        <v>3</v>
      </c>
      <c r="D8" s="184">
        <f>IF(D6="","",1000/ABS(SLOPE(Hilfsdaten!AE4:AE57,Hilfsdaten!$A4:$A57)))</f>
        <v>1862.6057333798078</v>
      </c>
      <c r="E8" s="184">
        <f>IF(E6="","",1000/ABS(SLOPE(Hilfsdaten!AF4:AF57,Hilfsdaten!$A4:$A57)))</f>
        <v>1887.9768219982768</v>
      </c>
      <c r="F8" s="185">
        <f>IF(F6="","",1000/ABS(SLOPE(Hilfsdaten!AG4:AG57,Hilfsdaten!$A4:$A57)))</f>
        <v>1811.6361786929035</v>
      </c>
      <c r="G8" s="186">
        <f>IF(G6="","",1000/ABS(SLOPE(Hilfsdaten!AH4:AH57,Hilfsdaten!$A4:$A57)))</f>
        <v>1799.5110581728145</v>
      </c>
      <c r="H8" s="191" t="str">
        <f>IF(H6="","",1000/ABS(SLOPE(Hilfsdaten!AI4:AI57,Hilfsdaten!$A4:$A57)))</f>
        <v/>
      </c>
      <c r="I8" s="192" t="str">
        <f>IF(I6="","",1000/ABS(SLOPE(Hilfsdaten!AJ4:AJ57,Hilfsdaten!$A4:$A57)))</f>
        <v/>
      </c>
      <c r="J8" s="193" t="str">
        <f>IF(J6="","",1000/ABS(SLOPE(Hilfsdaten!AK4:AK57,Hilfsdaten!$A4:$A57)))</f>
        <v/>
      </c>
      <c r="K8" s="194" t="str">
        <f>IF(K6="","",1000/ABS(SLOPE(Hilfsdaten!AL4:AL57,Hilfsdaten!$A4:$A57)))</f>
        <v/>
      </c>
      <c r="L8" s="27"/>
      <c r="M8" s="51" t="s">
        <v>26</v>
      </c>
      <c r="N8" s="15">
        <f>IF(AND(D12="",E12="",F12="",G12="",H12="",I12="",J12="",K12=""),"",AVERAGE(D12:K12))</f>
        <v>3267.9972501590187</v>
      </c>
      <c r="O8" s="22" t="s">
        <v>14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spans="1:30" ht="12.75" customHeight="1" thickBot="1" x14ac:dyDescent="0.25">
      <c r="A9" s="29"/>
      <c r="B9" s="29"/>
      <c r="C9" s="141" t="s">
        <v>13</v>
      </c>
      <c r="D9" s="88">
        <f>IF(D6="","",INTERCEPT(Hilfsdaten!AE4:AE57,T0_Korrektur!C3:C56))</f>
        <v>20.957571873146961</v>
      </c>
      <c r="E9" s="88">
        <f>IF(E6="","",INTERCEPT(Hilfsdaten!AF4:AF57,T0_Korrektur!C3:C56))</f>
        <v>21.642928073638934</v>
      </c>
      <c r="F9" s="87">
        <f>IF(F6="","",INTERCEPT(Hilfsdaten!AG4:AG57,T0_Korrektur!E3:E56))</f>
        <v>20.980748568922067</v>
      </c>
      <c r="G9" s="86">
        <f>IF(G6="","",INTERCEPT(Hilfsdaten!AH4:AH57,T0_Korrektur!G3:G56))</f>
        <v>22.618634968355799</v>
      </c>
      <c r="H9" s="195" t="str">
        <f>IF(H6="","",INTERCEPT(Hilfsdaten!AI4:AI57,T0_Korrektur!I3:I56))</f>
        <v/>
      </c>
      <c r="I9" s="196" t="str">
        <f>IF(I6="","",INTERCEPT(Hilfsdaten!AJ4:AJ57,T0_Korrektur!K3:K56))</f>
        <v/>
      </c>
      <c r="J9" s="197" t="str">
        <f>IF(J6="","",INTERCEPT(Hilfsdaten!AK4:AK57,T0_Korrektur!M3:M56))</f>
        <v/>
      </c>
      <c r="K9" s="198" t="str">
        <f>IF(K6="","",INTERCEPT(Hilfsdaten!AL4:AL57,T0_Korrektur!O3:O56))</f>
        <v/>
      </c>
      <c r="L9" s="27"/>
      <c r="M9" s="51" t="s">
        <v>23</v>
      </c>
      <c r="N9" s="16">
        <f>IF(AND(D13="",E13="",F13="",G13="",H13="",I13="",J13="",K13=""),"",AVERAGE(D13:K13))</f>
        <v>41.37031604720196</v>
      </c>
      <c r="O9" s="22" t="s">
        <v>15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spans="1:30" ht="13.5" thickTop="1" thickBot="1" x14ac:dyDescent="0.25">
      <c r="A10" s="29"/>
      <c r="B10" s="285" t="s">
        <v>22</v>
      </c>
      <c r="C10" s="50" t="s">
        <v>19</v>
      </c>
      <c r="D10" s="163">
        <v>0</v>
      </c>
      <c r="E10" s="164">
        <v>177</v>
      </c>
      <c r="F10" s="165">
        <v>0</v>
      </c>
      <c r="G10" s="166">
        <v>80</v>
      </c>
      <c r="H10" s="167"/>
      <c r="I10" s="168"/>
      <c r="J10" s="169"/>
      <c r="K10" s="170"/>
      <c r="L10" s="27"/>
      <c r="M10" s="52" t="s">
        <v>24</v>
      </c>
      <c r="N10" s="24">
        <f>IF(N9="","",N5*(N9-2*N7*COS(ASIN(N4/N8))/N4)/(2000*COS(ASIN(N5/N8))))</f>
        <v>46.045315015470855</v>
      </c>
      <c r="O10" s="25" t="s">
        <v>0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spans="1:30" ht="12.75" thickBot="1" x14ac:dyDescent="0.25">
      <c r="A11" s="29"/>
      <c r="B11" s="286"/>
      <c r="C11" s="37" t="s">
        <v>20</v>
      </c>
      <c r="D11" s="171">
        <v>10</v>
      </c>
      <c r="E11" s="172">
        <v>193</v>
      </c>
      <c r="F11" s="173">
        <v>107</v>
      </c>
      <c r="G11" s="174">
        <v>193</v>
      </c>
      <c r="H11" s="175"/>
      <c r="I11" s="176"/>
      <c r="J11" s="177"/>
      <c r="K11" s="178"/>
      <c r="L11" s="27"/>
      <c r="M11" s="27"/>
      <c r="N11" s="331">
        <f>IF(N9="","",N5*(0.001*N9-2*N7*COS(ASIN(N4/N8))/N4)/(2*COS(ASIN(N5/N8))))</f>
        <v>21.324769574884407</v>
      </c>
      <c r="O11" s="332">
        <f>IF(N9="","",N5*(N9-2000*N7*COS(ASIN(N4/N8))/N4)/(2000*COS(ASIN(N5/N8))))</f>
        <v>21.32476957488441</v>
      </c>
      <c r="P11" s="28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</row>
    <row r="12" spans="1:30" ht="12" customHeight="1" x14ac:dyDescent="0.2">
      <c r="A12" s="29"/>
      <c r="B12" s="287"/>
      <c r="C12" s="48" t="s">
        <v>22</v>
      </c>
      <c r="D12" s="184">
        <f>IF(D10="","",1000/ABS(SLOPE(Hilfsdaten!AM4:AM57,Hilfsdaten!$A4:$A57)))</f>
        <v>3216.289975690981</v>
      </c>
      <c r="E12" s="184">
        <f>IF(E10="","",1000/ABS(SLOPE(Hilfsdaten!AN4:AN57,Hilfsdaten!$A4:$A57)))</f>
        <v>3106.7600914161476</v>
      </c>
      <c r="F12" s="185">
        <f>IF(F10="","",1000/ABS(SLOPE(Hilfsdaten!AO4:AO57,Hilfsdaten!$A4:$A57)))</f>
        <v>3291.0204730349064</v>
      </c>
      <c r="G12" s="186">
        <f>IF(G10="","",1000/ABS(SLOPE(Hilfsdaten!AP4:AP57,Hilfsdaten!$A4:$A57)))</f>
        <v>3457.9184604940406</v>
      </c>
      <c r="H12" s="191" t="str">
        <f>IF(H10="","",1000/ABS(SLOPE(Hilfsdaten!AQ4:AQ57,Hilfsdaten!$A4:$A57)))</f>
        <v/>
      </c>
      <c r="I12" s="192" t="str">
        <f>IF(I10="","",1000/ABS(SLOPE(Hilfsdaten!AR4:AR57,Hilfsdaten!$A4:$A57)))</f>
        <v/>
      </c>
      <c r="J12" s="193" t="str">
        <f>IF(J10="","",1000/ABS(SLOPE(Hilfsdaten!AS4:AS57,Hilfsdaten!$A4:$A57)))</f>
        <v/>
      </c>
      <c r="K12" s="194" t="str">
        <f>IF(K10="","",1000/ABS(SLOPE(Hilfsdaten!AT4:AT57,Hilfsdaten!$A4:$A57)))</f>
        <v/>
      </c>
      <c r="L12" s="27"/>
      <c r="M12" s="290" t="s">
        <v>87</v>
      </c>
      <c r="N12" s="290"/>
      <c r="O12" s="290"/>
      <c r="P12" s="290"/>
      <c r="Q12" s="290"/>
      <c r="R12" s="290"/>
      <c r="S12" s="290"/>
      <c r="T12" s="290"/>
      <c r="U12" s="53"/>
      <c r="V12" s="53"/>
      <c r="W12" s="53"/>
      <c r="X12" s="53"/>
      <c r="Y12" s="53"/>
      <c r="Z12" s="53"/>
      <c r="AA12" s="53"/>
      <c r="AB12" s="53"/>
      <c r="AC12" s="53"/>
      <c r="AD12" s="53"/>
    </row>
    <row r="13" spans="1:30" ht="12.75" thickBot="1" x14ac:dyDescent="0.25">
      <c r="A13" s="29"/>
      <c r="B13" s="29"/>
      <c r="C13" s="49" t="s">
        <v>23</v>
      </c>
      <c r="D13" s="105">
        <f>IF(D10="","",INTERCEPT(Hilfsdaten!AM4:AM57,T0_Korrektur!C3:C56))</f>
        <v>39.574831237594836</v>
      </c>
      <c r="E13" s="105">
        <f>IF(E10="","",INTERCEPT(Hilfsdaten!AN4:AN57,T0_Korrektur!C3:C56))</f>
        <v>39.831615967908988</v>
      </c>
      <c r="F13" s="103">
        <f>IF(F10="","",INTERCEPT(Hilfsdaten!AO4:AO57,T0_Korrektur!E3:E56))</f>
        <v>42.12321922850149</v>
      </c>
      <c r="G13" s="104">
        <f>IF(G10="","",INTERCEPT(Hilfsdaten!AP4:AP57,T0_Korrektur!G3:G56))</f>
        <v>43.951597754802528</v>
      </c>
      <c r="H13" s="138" t="str">
        <f>IF(H10="","",INTERCEPT(Hilfsdaten!AQ4:AQ57,T0_Korrektur!I3:I56))</f>
        <v/>
      </c>
      <c r="I13" s="139" t="str">
        <f>IF(I10="","",INTERCEPT(Hilfsdaten!AR4:AR57,T0_Korrektur!K3:K56))</f>
        <v/>
      </c>
      <c r="J13" s="85" t="str">
        <f>IF(J10="","",INTERCEPT(Hilfsdaten!AS4:AS57,T0_Korrektur!M3:M56))</f>
        <v/>
      </c>
      <c r="K13" s="89" t="str">
        <f>IF(K10="","",INTERCEPT(Hilfsdaten!AT4:AT57,T0_Korrektur!O3:O56))</f>
        <v/>
      </c>
      <c r="L13" s="27"/>
      <c r="M13" s="290"/>
      <c r="N13" s="290"/>
      <c r="O13" s="290"/>
      <c r="P13" s="290"/>
      <c r="Q13" s="290"/>
      <c r="R13" s="290"/>
      <c r="S13" s="290"/>
      <c r="T13" s="290"/>
      <c r="U13" s="53"/>
      <c r="V13" s="53"/>
      <c r="W13" s="53"/>
      <c r="X13" s="53"/>
      <c r="Y13" s="53"/>
      <c r="Z13" s="53"/>
      <c r="AA13" s="53"/>
      <c r="AB13" s="53"/>
      <c r="AC13" s="53"/>
      <c r="AD13" s="53"/>
    </row>
    <row r="14" spans="1:30" x14ac:dyDescent="0.2">
      <c r="A14" s="29"/>
      <c r="B14" s="29"/>
      <c r="C14" s="26"/>
      <c r="D14" s="26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9"/>
      <c r="P14" s="28"/>
      <c r="Q14" s="28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 spans="1:30" x14ac:dyDescent="0.2">
      <c r="A15" s="29"/>
      <c r="B15" s="29"/>
      <c r="C15" s="26"/>
      <c r="D15" s="26"/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9"/>
      <c r="P15" s="28"/>
      <c r="Q15" s="28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 spans="1:30" x14ac:dyDescent="0.2">
      <c r="A16" s="29"/>
      <c r="B16" s="29"/>
      <c r="C16" s="26"/>
      <c r="D16" s="26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9"/>
      <c r="P16" s="28"/>
      <c r="Q16" s="28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 spans="1:30" x14ac:dyDescent="0.2">
      <c r="A17" s="29"/>
      <c r="B17" s="29"/>
      <c r="C17" s="26"/>
      <c r="D17" s="26"/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9"/>
      <c r="P17" s="28"/>
      <c r="Q17" s="28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 spans="1:30" x14ac:dyDescent="0.2">
      <c r="A18" s="29"/>
      <c r="B18" s="29"/>
      <c r="C18" s="26"/>
      <c r="D18" s="26"/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9"/>
      <c r="P18" s="28"/>
      <c r="Q18" s="28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19" spans="1:30" x14ac:dyDescent="0.2">
      <c r="A19" s="29"/>
      <c r="B19" s="29"/>
      <c r="C19" s="26"/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9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</row>
    <row r="20" spans="1:30" x14ac:dyDescent="0.2">
      <c r="A20" s="29"/>
      <c r="B20" s="29"/>
      <c r="C20" s="26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9"/>
      <c r="P20" s="28"/>
      <c r="Q20" s="28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spans="1:30" x14ac:dyDescent="0.2">
      <c r="A21" s="29"/>
      <c r="B21" s="29"/>
      <c r="C21" s="26"/>
      <c r="D21" s="26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9"/>
      <c r="P21" s="28"/>
      <c r="Q21" s="28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</row>
    <row r="22" spans="1:30" x14ac:dyDescent="0.2">
      <c r="A22" s="29"/>
      <c r="B22" s="29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9"/>
      <c r="P22" s="28"/>
      <c r="Q22" s="28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 spans="1:30" x14ac:dyDescent="0.2">
      <c r="A23" s="29"/>
      <c r="B23" s="29"/>
      <c r="C23" s="26"/>
      <c r="D23" s="26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9"/>
      <c r="P23" s="28"/>
      <c r="Q23" s="28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spans="1:30" x14ac:dyDescent="0.2">
      <c r="A24" s="29"/>
      <c r="B24" s="29"/>
      <c r="C24" s="26"/>
      <c r="D24" s="26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9"/>
      <c r="P24" s="28"/>
      <c r="Q24" s="28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 spans="1:30" x14ac:dyDescent="0.2">
      <c r="A25" s="29"/>
      <c r="B25" s="29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9"/>
      <c r="P25" s="28"/>
      <c r="Q25" s="28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0" x14ac:dyDescent="0.2">
      <c r="A26" s="29"/>
      <c r="B26" s="29"/>
      <c r="C26" s="26"/>
      <c r="D26" s="26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9"/>
      <c r="P26" s="28"/>
      <c r="Q26" s="28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0" x14ac:dyDescent="0.2">
      <c r="A27" s="29"/>
      <c r="B27" s="29"/>
      <c r="C27" s="26"/>
      <c r="D27" s="26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9"/>
      <c r="P27" s="28"/>
      <c r="Q27" s="28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 spans="1:30" x14ac:dyDescent="0.2">
      <c r="A28" s="29"/>
      <c r="B28" s="29"/>
      <c r="C28" s="26"/>
      <c r="D28" s="26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9"/>
      <c r="P28" s="28"/>
      <c r="Q28" s="28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 spans="1:30" x14ac:dyDescent="0.2">
      <c r="A29" s="29"/>
      <c r="B29" s="29"/>
      <c r="C29" s="26"/>
      <c r="D29" s="26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9"/>
      <c r="P29" s="28"/>
      <c r="Q29" s="28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spans="1:30" x14ac:dyDescent="0.2">
      <c r="A30" s="29"/>
      <c r="B30" s="29"/>
      <c r="C30" s="26"/>
      <c r="D30" s="26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9"/>
      <c r="P30" s="28"/>
      <c r="Q30" s="28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 spans="1:30" x14ac:dyDescent="0.2">
      <c r="A31" s="29"/>
      <c r="B31" s="29"/>
      <c r="C31" s="26"/>
      <c r="D31" s="26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33"/>
      <c r="P31" s="28"/>
      <c r="Q31" s="28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</row>
    <row r="32" spans="1:30" x14ac:dyDescent="0.2">
      <c r="A32" s="29"/>
      <c r="B32" s="29"/>
      <c r="C32" s="26"/>
      <c r="D32" s="26"/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9"/>
      <c r="P32" s="28"/>
      <c r="Q32" s="28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spans="1:30" x14ac:dyDescent="0.2">
      <c r="A33" s="29"/>
      <c r="B33" s="29"/>
      <c r="C33" s="26"/>
      <c r="D33" s="26"/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9"/>
      <c r="P33" s="28"/>
      <c r="Q33" s="28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</row>
    <row r="34" spans="1:30" x14ac:dyDescent="0.2">
      <c r="A34" s="29"/>
      <c r="B34" s="29"/>
      <c r="C34" s="26"/>
      <c r="D34" s="26"/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9"/>
      <c r="P34" s="28"/>
      <c r="Q34" s="28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</row>
    <row r="35" spans="1:30" x14ac:dyDescent="0.2">
      <c r="A35" s="29"/>
      <c r="B35" s="29"/>
      <c r="C35" s="26"/>
      <c r="D35" s="26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9"/>
      <c r="P35" s="28"/>
      <c r="Q35" s="28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</row>
    <row r="36" spans="1:30" x14ac:dyDescent="0.2">
      <c r="A36" s="29"/>
      <c r="B36" s="29"/>
      <c r="C36" s="26"/>
      <c r="D36" s="26"/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9"/>
      <c r="P36" s="28"/>
      <c r="Q36" s="28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</row>
    <row r="37" spans="1:30" x14ac:dyDescent="0.2">
      <c r="A37" s="29"/>
      <c r="B37" s="29"/>
      <c r="C37" s="26"/>
      <c r="D37" s="26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9"/>
      <c r="P37" s="28"/>
      <c r="Q37" s="28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spans="1:30" x14ac:dyDescent="0.2">
      <c r="A38" s="29"/>
      <c r="B38" s="29"/>
      <c r="C38" s="26"/>
      <c r="D38" s="26"/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9"/>
      <c r="P38" s="28"/>
      <c r="Q38" s="28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 spans="1:30" x14ac:dyDescent="0.2">
      <c r="A39" s="29"/>
      <c r="B39" s="29"/>
      <c r="C39" s="26"/>
      <c r="D39" s="26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9"/>
      <c r="P39" s="28"/>
      <c r="Q39" s="28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 spans="1:30" x14ac:dyDescent="0.2">
      <c r="A40" s="29"/>
      <c r="B40" s="29"/>
      <c r="C40" s="26"/>
      <c r="D40" s="26"/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9"/>
      <c r="P40" s="28"/>
      <c r="Q40" s="28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spans="1:30" x14ac:dyDescent="0.2">
      <c r="A41" s="29"/>
      <c r="B41" s="29"/>
      <c r="C41" s="26"/>
      <c r="D41" s="26"/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9"/>
      <c r="P41" s="28"/>
      <c r="Q41" s="28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 spans="1:30" x14ac:dyDescent="0.2">
      <c r="A42" s="29"/>
      <c r="B42" s="29"/>
      <c r="C42" s="26"/>
      <c r="D42" s="26"/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9"/>
      <c r="P42" s="28"/>
      <c r="Q42" s="28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 spans="1:30" x14ac:dyDescent="0.2">
      <c r="A43" s="29"/>
      <c r="B43" s="29"/>
      <c r="C43" s="26"/>
      <c r="D43" s="26"/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9"/>
      <c r="P43" s="28"/>
      <c r="Q43" s="28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spans="1:30" x14ac:dyDescent="0.2">
      <c r="A44" s="29"/>
      <c r="B44" s="29"/>
      <c r="C44" s="26"/>
      <c r="D44" s="26"/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9"/>
      <c r="P44" s="28"/>
      <c r="Q44" s="28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 spans="1:30" x14ac:dyDescent="0.2">
      <c r="A45" s="29"/>
      <c r="B45" s="29"/>
      <c r="C45" s="26"/>
      <c r="D45" s="26"/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9"/>
      <c r="P45" s="28"/>
      <c r="Q45" s="28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 spans="1:30" x14ac:dyDescent="0.2">
      <c r="A46" s="29"/>
      <c r="B46" s="29"/>
      <c r="C46" s="26"/>
      <c r="D46" s="26"/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9"/>
      <c r="P46" s="28"/>
      <c r="Q46" s="28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spans="1:30" x14ac:dyDescent="0.2">
      <c r="A47" s="29"/>
      <c r="B47" s="29"/>
      <c r="C47" s="26"/>
      <c r="D47" s="26"/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9"/>
      <c r="P47" s="28"/>
      <c r="Q47" s="28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 spans="1:30" x14ac:dyDescent="0.2">
      <c r="A48" s="29"/>
      <c r="B48" s="29"/>
      <c r="C48" s="26"/>
      <c r="D48" s="26"/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9"/>
      <c r="P48" s="28"/>
      <c r="Q48" s="28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 spans="1:30" x14ac:dyDescent="0.2">
      <c r="A49" s="29"/>
      <c r="B49" s="29"/>
      <c r="C49" s="26"/>
      <c r="D49" s="26"/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9"/>
      <c r="P49" s="28"/>
      <c r="Q49" s="28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spans="1:30" x14ac:dyDescent="0.2">
      <c r="A50" s="29"/>
      <c r="B50" s="29"/>
      <c r="C50" s="26"/>
      <c r="D50" s="26"/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6"/>
      <c r="Q50" s="27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  <row r="51" spans="1:30" x14ac:dyDescent="0.2">
      <c r="A51" s="29"/>
      <c r="B51" s="29"/>
      <c r="C51" s="26"/>
      <c r="D51" s="26"/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6"/>
      <c r="Q51" s="27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 spans="1:30" x14ac:dyDescent="0.2">
      <c r="A52" s="29"/>
      <c r="B52" s="29"/>
      <c r="C52" s="26"/>
      <c r="D52" s="26"/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6"/>
      <c r="Q52" s="27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spans="1:30" x14ac:dyDescent="0.2">
      <c r="A53" s="29"/>
      <c r="B53" s="29"/>
      <c r="C53" s="26"/>
      <c r="D53" s="26"/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6"/>
      <c r="Q53" s="27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  <row r="54" spans="1:30" ht="12.75" customHeight="1" x14ac:dyDescent="0.2">
      <c r="A54" s="29"/>
      <c r="B54" s="29"/>
      <c r="C54" s="26"/>
      <c r="D54" s="26"/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30"/>
      <c r="Q54" s="30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</row>
    <row r="55" spans="1:30" ht="12.75" customHeight="1" x14ac:dyDescent="0.2">
      <c r="A55" s="29"/>
      <c r="B55" s="28"/>
      <c r="C55" s="26"/>
      <c r="D55" s="26"/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32"/>
      <c r="Q55" s="34"/>
      <c r="R55" s="30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spans="1:30" s="3" customFormat="1" ht="12.75" customHeight="1" x14ac:dyDescent="0.2">
      <c r="A56" s="28"/>
      <c r="B56" s="35"/>
      <c r="C56" s="26"/>
      <c r="D56" s="26"/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8"/>
      <c r="P56" s="29"/>
      <c r="Q56" s="29"/>
      <c r="R56" s="32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 s="1" customFormat="1" x14ac:dyDescent="0.2">
      <c r="A57" s="35"/>
      <c r="B57" s="29"/>
      <c r="C57" s="26"/>
      <c r="D57" s="26"/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8"/>
      <c r="P57" s="29"/>
      <c r="Q57" s="29"/>
      <c r="R57" s="29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</row>
    <row r="58" spans="1:30" x14ac:dyDescent="0.2">
      <c r="A58" s="29"/>
      <c r="B58" s="29"/>
      <c r="C58" s="26"/>
      <c r="D58" s="26"/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8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spans="1:30" x14ac:dyDescent="0.2">
      <c r="A59" s="29"/>
      <c r="B59" s="29"/>
      <c r="C59" s="26"/>
      <c r="D59" s="26"/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8"/>
      <c r="P59" s="29"/>
      <c r="Q59" s="28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</row>
    <row r="60" spans="1:30" x14ac:dyDescent="0.2">
      <c r="A60" s="29"/>
      <c r="B60" s="29"/>
      <c r="C60" s="26"/>
      <c r="D60" s="26"/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8"/>
      <c r="P60" s="29"/>
      <c r="Q60" s="28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 spans="1:30" x14ac:dyDescent="0.2">
      <c r="A61" s="29"/>
      <c r="B61" s="29"/>
      <c r="C61" s="26"/>
      <c r="D61" s="26"/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8"/>
      <c r="P61" s="29"/>
      <c r="Q61" s="28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spans="1:30" x14ac:dyDescent="0.2">
      <c r="A62" s="29"/>
      <c r="B62" s="29"/>
      <c r="C62" s="26"/>
      <c r="D62" s="26"/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8"/>
      <c r="P62" s="29"/>
      <c r="Q62" s="28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</row>
    <row r="63" spans="1:30" x14ac:dyDescent="0.2">
      <c r="A63" s="29"/>
      <c r="B63" s="29"/>
      <c r="C63" s="26"/>
      <c r="D63" s="26"/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8"/>
      <c r="P63" s="29"/>
      <c r="Q63" s="28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</row>
    <row r="64" spans="1:30" x14ac:dyDescent="0.2">
      <c r="A64" s="29"/>
      <c r="B64" s="29"/>
      <c r="C64" s="26"/>
      <c r="D64" s="26"/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8"/>
      <c r="P64" s="29"/>
      <c r="Q64" s="28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spans="1:30" x14ac:dyDescent="0.2">
      <c r="A65" s="29"/>
      <c r="B65" s="29"/>
      <c r="C65" s="26"/>
      <c r="D65" s="26"/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8"/>
      <c r="P65" s="29"/>
      <c r="Q65" s="28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</row>
    <row r="66" spans="1:30" x14ac:dyDescent="0.2">
      <c r="A66" s="29"/>
      <c r="B66" s="29"/>
      <c r="C66" s="26"/>
      <c r="D66" s="26"/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8"/>
      <c r="P66" s="29"/>
      <c r="Q66" s="28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</row>
    <row r="67" spans="1:30" x14ac:dyDescent="0.2">
      <c r="A67" s="29"/>
      <c r="B67" s="29"/>
      <c r="C67" s="26"/>
      <c r="D67" s="26"/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8"/>
      <c r="P67" s="29"/>
      <c r="Q67" s="28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spans="1:30" x14ac:dyDescent="0.2">
      <c r="A68" s="29"/>
      <c r="B68" s="29"/>
      <c r="C68" s="26"/>
      <c r="D68" s="26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8"/>
      <c r="P68" s="29"/>
      <c r="Q68" s="28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</row>
    <row r="69" spans="1:30" x14ac:dyDescent="0.2">
      <c r="A69" s="29"/>
      <c r="B69" s="29"/>
      <c r="C69" s="26"/>
      <c r="D69" s="26"/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8"/>
      <c r="P69" s="29"/>
      <c r="Q69" s="28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 spans="1:30" x14ac:dyDescent="0.2">
      <c r="A70" s="29"/>
      <c r="B70" s="29"/>
      <c r="C70" s="26"/>
      <c r="D70" s="26"/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8"/>
      <c r="P70" s="29"/>
      <c r="Q70" s="28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spans="1:30" x14ac:dyDescent="0.2">
      <c r="A71" s="29"/>
      <c r="B71" s="29"/>
      <c r="C71" s="26"/>
      <c r="D71" s="26"/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8"/>
      <c r="P71" s="29"/>
      <c r="Q71" s="28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 spans="1:30" x14ac:dyDescent="0.2">
      <c r="A72" s="29"/>
      <c r="B72" s="29"/>
      <c r="C72" s="26"/>
      <c r="D72" s="26"/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8"/>
      <c r="P72" s="29"/>
      <c r="Q72" s="28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</row>
    <row r="73" spans="1:30" x14ac:dyDescent="0.2">
      <c r="A73" s="29"/>
      <c r="B73" s="29"/>
      <c r="C73" s="26"/>
      <c r="D73" s="26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8"/>
      <c r="P73" s="29"/>
      <c r="Q73" s="28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</row>
    <row r="74" spans="1:30" x14ac:dyDescent="0.2">
      <c r="A74" s="29"/>
      <c r="B74" s="29"/>
      <c r="C74" s="26"/>
      <c r="D74" s="26"/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8"/>
      <c r="P74" s="29"/>
      <c r="Q74" s="28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 spans="1:30" x14ac:dyDescent="0.2">
      <c r="A75" s="29"/>
      <c r="B75" s="29"/>
      <c r="C75" s="26"/>
      <c r="D75" s="26"/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8"/>
      <c r="P75" s="29"/>
      <c r="Q75" s="28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 spans="1:30" x14ac:dyDescent="0.2">
      <c r="A76" s="29"/>
      <c r="B76" s="29"/>
      <c r="C76" s="26"/>
      <c r="D76" s="26"/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8"/>
      <c r="P76" s="29"/>
      <c r="Q76" s="28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 spans="1:30" x14ac:dyDescent="0.2">
      <c r="A77" s="29"/>
      <c r="B77" s="29"/>
      <c r="C77" s="26"/>
      <c r="D77" s="26"/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8"/>
      <c r="P77" s="29"/>
      <c r="Q77" s="28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</row>
    <row r="78" spans="1:30" x14ac:dyDescent="0.2">
      <c r="A78" s="29"/>
      <c r="B78" s="29"/>
      <c r="C78" s="26"/>
      <c r="D78" s="26"/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8"/>
      <c r="P78" s="29"/>
      <c r="Q78" s="28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</row>
    <row r="79" spans="1:30" x14ac:dyDescent="0.2">
      <c r="A79" s="29"/>
      <c r="B79" s="29"/>
      <c r="C79" s="26"/>
      <c r="D79" s="26"/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8"/>
      <c r="P79" s="29"/>
      <c r="Q79" s="28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 spans="1:30" x14ac:dyDescent="0.2">
      <c r="A80" s="29"/>
      <c r="B80" s="29"/>
      <c r="C80" s="26"/>
      <c r="D80" s="26"/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8"/>
      <c r="P80" s="29"/>
      <c r="Q80" s="28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</row>
    <row r="81" spans="1:30" x14ac:dyDescent="0.2">
      <c r="A81" s="29"/>
      <c r="B81" s="29"/>
      <c r="C81" s="26"/>
      <c r="D81" s="26"/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8"/>
      <c r="P81" s="29"/>
      <c r="Q81" s="28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</row>
    <row r="82" spans="1:30" x14ac:dyDescent="0.2">
      <c r="A82" s="29"/>
      <c r="B82" s="29"/>
      <c r="C82" s="26"/>
      <c r="D82" s="26"/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8"/>
      <c r="P82" s="29"/>
      <c r="Q82" s="28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</row>
    <row r="83" spans="1:30" x14ac:dyDescent="0.2">
      <c r="A83" s="29"/>
      <c r="B83" s="29"/>
      <c r="C83" s="26"/>
      <c r="D83" s="26"/>
      <c r="E83" s="26"/>
      <c r="F83" s="27"/>
      <c r="G83" s="27"/>
      <c r="H83" s="27"/>
      <c r="I83" s="27"/>
      <c r="J83" s="27"/>
      <c r="K83" s="27"/>
      <c r="L83" s="27"/>
      <c r="M83" s="27"/>
      <c r="N83" s="27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</row>
    <row r="84" spans="1:30" x14ac:dyDescent="0.2">
      <c r="A84" s="29"/>
      <c r="B84" s="29"/>
      <c r="M84" s="27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</row>
    <row r="85" spans="1:30" x14ac:dyDescent="0.2">
      <c r="A85" s="29"/>
    </row>
  </sheetData>
  <mergeCells count="5">
    <mergeCell ref="B3:B5"/>
    <mergeCell ref="B6:B8"/>
    <mergeCell ref="B10:B12"/>
    <mergeCell ref="R2:S4"/>
    <mergeCell ref="M12:T13"/>
  </mergeCells>
  <phoneticPr fontId="0" type="noConversion"/>
  <conditionalFormatting sqref="D3:K4">
    <cfRule type="expression" dxfId="3" priority="1" stopIfTrue="1">
      <formula>ISBLANK(D3)</formula>
    </cfRule>
  </conditionalFormatting>
  <conditionalFormatting sqref="D5:K5 D8:K9 D12:K13">
    <cfRule type="cellIs" dxfId="2" priority="48" stopIfTrue="1" operator="notBetween">
      <formula>-1</formula>
      <formula>9999</formula>
    </cfRule>
  </conditionalFormatting>
  <conditionalFormatting sqref="D6:K7">
    <cfRule type="expression" dxfId="1" priority="14" stopIfTrue="1">
      <formula>ISBLANK(D6)</formula>
    </cfRule>
  </conditionalFormatting>
  <conditionalFormatting sqref="D10:K11">
    <cfRule type="expression" dxfId="0" priority="22" stopIfTrue="1">
      <formula>ISBLANK(D10)</formula>
    </cfRule>
  </conditionalFormatting>
  <hyperlinks>
    <hyperlink ref="R2:S4" location="Fit!A1" display="Darstellung der theoretischen LZK mit Picks" xr:uid="{00000000-0004-0000-0400-000000000000}"/>
  </hyperlinks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>
    <tabColor indexed="22"/>
  </sheetPr>
  <dimension ref="A1:AT108"/>
  <sheetViews>
    <sheetView zoomScale="85" zoomScaleNormal="85" workbookViewId="0">
      <selection activeCell="P42" sqref="P42"/>
    </sheetView>
  </sheetViews>
  <sheetFormatPr baseColWidth="10" defaultRowHeight="12.75" x14ac:dyDescent="0.2"/>
  <sheetData>
    <row r="1" spans="1:46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</row>
    <row r="2" spans="1:46" x14ac:dyDescent="0.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</row>
    <row r="3" spans="1:46" x14ac:dyDescent="0.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</row>
    <row r="4" spans="1:46" x14ac:dyDescent="0.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 t="s">
        <v>35</v>
      </c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</row>
    <row r="5" spans="1:46" x14ac:dyDescent="0.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</row>
    <row r="6" spans="1:46" x14ac:dyDescent="0.2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69">
        <f>Hilfsdaten!BV3</f>
        <v>12.051379105631714</v>
      </c>
      <c r="Q6" s="54" t="s">
        <v>15</v>
      </c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</row>
    <row r="7" spans="1:46" x14ac:dyDescent="0.2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</row>
    <row r="8" spans="1:46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36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</row>
    <row r="9" spans="1:46" x14ac:dyDescent="0.2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</row>
    <row r="10" spans="1:46" x14ac:dyDescent="0.2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69">
        <f>Hilfsdaten!BZ3</f>
        <v>7.0681307454849671</v>
      </c>
      <c r="Q10" s="54" t="s">
        <v>15</v>
      </c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</row>
    <row r="11" spans="1:46" x14ac:dyDescent="0.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</row>
    <row r="12" spans="1:46" x14ac:dyDescent="0.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199" t="s">
        <v>88</v>
      </c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</row>
    <row r="13" spans="1:46" x14ac:dyDescent="0.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</row>
    <row r="14" spans="1:46" x14ac:dyDescent="0.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</row>
    <row r="15" spans="1:46" x14ac:dyDescent="0.2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199" t="s">
        <v>94</v>
      </c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</row>
    <row r="16" spans="1:46" x14ac:dyDescent="0.2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</row>
    <row r="17" spans="1:46" x14ac:dyDescent="0.2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201" t="s">
        <v>68</v>
      </c>
      <c r="R17" s="202" t="s">
        <v>69</v>
      </c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</row>
    <row r="18" spans="1:46" x14ac:dyDescent="0.2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200" t="s">
        <v>89</v>
      </c>
      <c r="Q18" s="203">
        <f>'Auswertung 2-Schicht'!O4</f>
        <v>524.19908332616615</v>
      </c>
      <c r="R18" s="203">
        <f>'Auswertung 3-Schicht'!N4</f>
        <v>535.82991948432618</v>
      </c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</row>
    <row r="19" spans="1:46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200" t="s">
        <v>90</v>
      </c>
      <c r="Q19" s="203">
        <f>'Auswertung 2-Schicht'!O7</f>
        <v>2560.0778965705172</v>
      </c>
      <c r="R19" s="203">
        <f>'Auswertung 3-Schicht'!N5</f>
        <v>1840.4324480609507</v>
      </c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</row>
    <row r="20" spans="1:46" x14ac:dyDescent="0.2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200" t="s">
        <v>93</v>
      </c>
      <c r="Q20" s="204">
        <f>'Auswertung 2-Schicht'!O9</f>
        <v>9.2837314376308875</v>
      </c>
      <c r="R20" s="204">
        <f>'Auswertung 3-Schicht'!N7</f>
        <v>6.0349993856071196</v>
      </c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</row>
    <row r="21" spans="1:46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200" t="s">
        <v>91</v>
      </c>
      <c r="Q21" s="205"/>
      <c r="R21" s="203">
        <f>'Auswertung 3-Schicht'!N8</f>
        <v>3267.9972501590187</v>
      </c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</row>
    <row r="22" spans="1:46" x14ac:dyDescent="0.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200" t="s">
        <v>92</v>
      </c>
      <c r="Q22" s="205"/>
      <c r="R22" s="204">
        <f>'Auswertung 3-Schicht'!N10</f>
        <v>46.045315015470855</v>
      </c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</row>
    <row r="23" spans="1:46" x14ac:dyDescent="0.2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</row>
    <row r="24" spans="1:46" x14ac:dyDescent="0.2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</row>
    <row r="25" spans="1:46" x14ac:dyDescent="0.2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</row>
    <row r="26" spans="1:46" x14ac:dyDescent="0.2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</row>
    <row r="27" spans="1:46" x14ac:dyDescent="0.2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</row>
    <row r="28" spans="1:46" x14ac:dyDescent="0.2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</row>
    <row r="29" spans="1:46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</row>
    <row r="30" spans="1:46" x14ac:dyDescent="0.2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</row>
    <row r="31" spans="1:46" x14ac:dyDescent="0.2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</row>
    <row r="32" spans="1:46" x14ac:dyDescent="0.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</row>
    <row r="33" spans="1:46" x14ac:dyDescent="0.2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</row>
    <row r="34" spans="1:46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</row>
    <row r="35" spans="1:46" x14ac:dyDescent="0.2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</row>
    <row r="36" spans="1:46" x14ac:dyDescent="0.2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</row>
    <row r="37" spans="1:46" x14ac:dyDescent="0.2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</row>
    <row r="38" spans="1:46" x14ac:dyDescent="0.2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</row>
    <row r="39" spans="1:46" x14ac:dyDescent="0.2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</row>
    <row r="40" spans="1:46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</row>
    <row r="41" spans="1:46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</row>
    <row r="42" spans="1:46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</row>
    <row r="43" spans="1:46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</row>
    <row r="44" spans="1:46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</row>
    <row r="45" spans="1:46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</row>
    <row r="46" spans="1:46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</row>
    <row r="47" spans="1:46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</row>
    <row r="48" spans="1:46" ht="13.5" thickBot="1" x14ac:dyDescent="0.25">
      <c r="A48" s="54"/>
      <c r="B48" s="54"/>
      <c r="C48" s="54"/>
      <c r="D48" s="64"/>
      <c r="E48" s="64"/>
      <c r="F48" s="64"/>
      <c r="G48" s="54"/>
      <c r="H48" s="54"/>
      <c r="I48" s="54"/>
      <c r="J48" s="66"/>
      <c r="K48" s="66"/>
      <c r="L48" s="66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</row>
    <row r="49" spans="1:46" ht="13.5" thickTop="1" x14ac:dyDescent="0.2">
      <c r="A49" s="54"/>
      <c r="B49" s="54"/>
      <c r="C49" s="63"/>
      <c r="D49" s="257" t="s">
        <v>32</v>
      </c>
      <c r="E49" s="257"/>
      <c r="F49" s="258"/>
      <c r="G49" s="54"/>
      <c r="H49" s="54"/>
      <c r="I49" s="65"/>
      <c r="J49" s="291" t="s">
        <v>33</v>
      </c>
      <c r="K49" s="292"/>
      <c r="L49" s="29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</row>
    <row r="50" spans="1:46" x14ac:dyDescent="0.2">
      <c r="A50" s="54"/>
      <c r="B50" s="54"/>
      <c r="C50" s="63"/>
      <c r="D50" s="257"/>
      <c r="E50" s="257"/>
      <c r="F50" s="258"/>
      <c r="G50" s="54"/>
      <c r="H50" s="54"/>
      <c r="I50" s="65"/>
      <c r="J50" s="294"/>
      <c r="K50" s="262"/>
      <c r="L50" s="263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</row>
    <row r="51" spans="1:46" ht="13.5" thickBot="1" x14ac:dyDescent="0.25">
      <c r="A51" s="54"/>
      <c r="B51" s="54"/>
      <c r="C51" s="63"/>
      <c r="D51" s="260"/>
      <c r="E51" s="260"/>
      <c r="F51" s="261"/>
      <c r="G51" s="54"/>
      <c r="H51" s="54"/>
      <c r="I51" s="65"/>
      <c r="J51" s="295"/>
      <c r="K51" s="264"/>
      <c r="L51" s="265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</row>
    <row r="52" spans="1:46" ht="13.5" thickTop="1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</row>
    <row r="53" spans="1:46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</row>
    <row r="54" spans="1:46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</row>
    <row r="55" spans="1:46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</row>
    <row r="56" spans="1:46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</row>
    <row r="57" spans="1:46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</row>
    <row r="58" spans="1:46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</row>
    <row r="59" spans="1:46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</row>
    <row r="60" spans="1:46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</row>
    <row r="61" spans="1:46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</row>
    <row r="62" spans="1:46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</row>
    <row r="63" spans="1:46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</row>
    <row r="64" spans="1:46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</row>
    <row r="65" spans="1:46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</row>
    <row r="66" spans="1:46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</row>
    <row r="67" spans="1:46" x14ac:dyDescent="0.2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</row>
    <row r="68" spans="1:46" x14ac:dyDescent="0.2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</row>
    <row r="69" spans="1:46" x14ac:dyDescent="0.2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</row>
    <row r="70" spans="1:46" x14ac:dyDescent="0.2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</row>
    <row r="71" spans="1:46" x14ac:dyDescent="0.2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</row>
    <row r="72" spans="1:46" x14ac:dyDescent="0.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</row>
    <row r="73" spans="1:46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</row>
    <row r="74" spans="1:46" x14ac:dyDescent="0.2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</row>
    <row r="75" spans="1:46" x14ac:dyDescent="0.2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</row>
    <row r="76" spans="1:46" x14ac:dyDescent="0.2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</row>
    <row r="77" spans="1:46" x14ac:dyDescent="0.2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</row>
    <row r="78" spans="1:46" x14ac:dyDescent="0.2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</row>
    <row r="79" spans="1:46" x14ac:dyDescent="0.2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</row>
    <row r="80" spans="1:46" x14ac:dyDescent="0.2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</row>
    <row r="81" spans="1:46" x14ac:dyDescent="0.2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</row>
    <row r="82" spans="1:46" x14ac:dyDescent="0.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</row>
    <row r="83" spans="1:46" x14ac:dyDescent="0.2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</row>
    <row r="84" spans="1:46" x14ac:dyDescent="0.2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</row>
    <row r="85" spans="1:46" x14ac:dyDescent="0.2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</row>
    <row r="86" spans="1:46" x14ac:dyDescent="0.2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</row>
    <row r="87" spans="1:46" x14ac:dyDescent="0.2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</row>
    <row r="88" spans="1:46" x14ac:dyDescent="0.2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</row>
    <row r="89" spans="1:46" x14ac:dyDescent="0.2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</row>
    <row r="90" spans="1:46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</row>
    <row r="91" spans="1:46" x14ac:dyDescent="0.2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</row>
    <row r="92" spans="1:46" x14ac:dyDescent="0.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</row>
    <row r="93" spans="1:46" x14ac:dyDescent="0.2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</row>
    <row r="94" spans="1:46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</row>
    <row r="95" spans="1:46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</row>
    <row r="96" spans="1:46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</row>
    <row r="97" spans="1:46" x14ac:dyDescent="0.2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</row>
    <row r="98" spans="1:46" x14ac:dyDescent="0.2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</row>
    <row r="99" spans="1:46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</row>
    <row r="100" spans="1:46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</row>
    <row r="101" spans="1:46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</row>
    <row r="102" spans="1:46" x14ac:dyDescent="0.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</row>
    <row r="103" spans="1:46" x14ac:dyDescent="0.2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</row>
    <row r="104" spans="1:46" x14ac:dyDescent="0.2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</row>
    <row r="105" spans="1:46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</row>
    <row r="106" spans="1:46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</row>
    <row r="107" spans="1:46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</row>
    <row r="108" spans="1:46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</row>
  </sheetData>
  <mergeCells count="2">
    <mergeCell ref="D49:F51"/>
    <mergeCell ref="J49:L51"/>
  </mergeCells>
  <phoneticPr fontId="11" type="noConversion"/>
  <hyperlinks>
    <hyperlink ref="J49:L51" location="'Auswertung 3-Schicht'!K12" tooltip="3-Schichtfall" display="Auswertung als 3-Schichtfall (statistische Auswertung)" xr:uid="{00000000-0004-0000-0500-000000000000}"/>
    <hyperlink ref="D49:F51" location="'Auswertung 2-Schicht'!B8" display="Auswertung als 2-Schichtfall nach Hagedoorn (Plus-Minus-Methode)" xr:uid="{00000000-0004-0000-0500-000001000000}"/>
  </hyperlinks>
  <pageMargins left="0.78740157499999996" right="0.78740157499999996" top="0.984251969" bottom="0.984251969" header="0.4921259845" footer="0.492125984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U59"/>
  <sheetViews>
    <sheetView workbookViewId="0">
      <selection activeCell="E5" sqref="E5"/>
    </sheetView>
  </sheetViews>
  <sheetFormatPr baseColWidth="10" defaultColWidth="11.5703125" defaultRowHeight="12" x14ac:dyDescent="0.2"/>
  <cols>
    <col min="1" max="1" width="5.85546875" style="4" customWidth="1"/>
    <col min="2" max="2" width="5.7109375" style="4" customWidth="1"/>
    <col min="3" max="4" width="11.42578125" style="4" customWidth="1"/>
    <col min="5" max="6" width="11.42578125" style="5" customWidth="1"/>
    <col min="7" max="7" width="13.42578125" style="5" bestFit="1" customWidth="1"/>
    <col min="8" max="10" width="11.5703125" style="5" customWidth="1"/>
    <col min="11" max="12" width="11.42578125" style="5" customWidth="1"/>
    <col min="13" max="13" width="13.42578125" style="5" bestFit="1" customWidth="1"/>
    <col min="14" max="14" width="13.7109375" style="5" bestFit="1" customWidth="1"/>
    <col min="15" max="15" width="14.7109375" style="5" bestFit="1" customWidth="1"/>
    <col min="16" max="17" width="11.5703125" style="2" customWidth="1"/>
    <col min="18" max="18" width="14.42578125" style="2" bestFit="1" customWidth="1"/>
    <col min="19" max="19" width="14.7109375" style="2" bestFit="1" customWidth="1"/>
    <col min="20" max="20" width="15.5703125" style="2" bestFit="1" customWidth="1"/>
    <col min="21" max="16384" width="11.5703125" style="2"/>
  </cols>
  <sheetData>
    <row r="1" spans="1:21" x14ac:dyDescent="0.2">
      <c r="J1" s="5">
        <f>(INTERCEPT(T0_Korrektur!F3:F12,T0_Korrektur!G3:G12)+INTERCEPT(T0_Korrektur!H41:H50,T0_Korrektur!E41:E50))/2</f>
        <v>101.20456598357174</v>
      </c>
      <c r="O1" s="5" t="e">
        <f>(INTERCEPT(T0_Korrektur!J3:J12,T0_Korrektur!K3:K12)+INTERCEPT(T0_Korrektur!L41:L50,T0_Korrektur!I41:I50))/2</f>
        <v>#DIV/0!</v>
      </c>
      <c r="T1" s="5" t="e">
        <f>(INTERCEPT(T0_Korrektur!N3:N12,T0_Korrektur!O3:O12)+INTERCEPT(T0_Korrektur!P41:P50,T0_Korrektur!M41:M50))/2</f>
        <v>#DIV/0!</v>
      </c>
    </row>
    <row r="2" spans="1:21" s="1" customFormat="1" x14ac:dyDescent="0.2">
      <c r="A2" s="8" t="s">
        <v>1</v>
      </c>
      <c r="B2" s="8" t="s">
        <v>0</v>
      </c>
      <c r="C2" s="92" t="s">
        <v>53</v>
      </c>
      <c r="D2" s="92" t="s">
        <v>54</v>
      </c>
      <c r="E2" s="93" t="s">
        <v>45</v>
      </c>
      <c r="F2" s="94" t="s">
        <v>46</v>
      </c>
      <c r="G2" s="12" t="s">
        <v>47</v>
      </c>
      <c r="H2" s="9" t="s">
        <v>2</v>
      </c>
      <c r="I2" s="75" t="s">
        <v>48</v>
      </c>
      <c r="J2" s="77" t="s">
        <v>49</v>
      </c>
      <c r="K2" s="98" t="s">
        <v>41</v>
      </c>
      <c r="L2" s="73" t="s">
        <v>42</v>
      </c>
      <c r="M2" s="8" t="s">
        <v>6</v>
      </c>
      <c r="N2" s="75" t="s">
        <v>50</v>
      </c>
      <c r="O2" s="77" t="s">
        <v>76</v>
      </c>
      <c r="P2" s="14" t="s">
        <v>43</v>
      </c>
      <c r="Q2" s="90" t="s">
        <v>44</v>
      </c>
      <c r="R2" s="8" t="s">
        <v>51</v>
      </c>
      <c r="S2" s="75" t="s">
        <v>52</v>
      </c>
      <c r="T2" s="107" t="s">
        <v>77</v>
      </c>
    </row>
    <row r="3" spans="1:21" x14ac:dyDescent="0.2">
      <c r="A3" s="10">
        <v>1</v>
      </c>
      <c r="B3" s="10">
        <f>'Picks importieren'!B4</f>
        <v>0</v>
      </c>
      <c r="C3" s="95">
        <f>T0_Korrektur!D3*ABS(T0_Korrektur!B3-T0_Korrektur!C$1)/T0_Korrektur!C3</f>
        <v>69.428671423749449</v>
      </c>
      <c r="D3" s="95"/>
      <c r="E3" s="96">
        <f>T0_Korrektur!F3*ABS(T0_Korrektur!B3-T0_Korrektur!E$1)/T0_Korrektur!E3</f>
        <v>100.91660299598189</v>
      </c>
      <c r="F3" s="97">
        <f>T0_Korrektur!H3*ABS(T0_Korrektur!B3-T0_Korrektur!G$1)/T0_Korrektur!G3</f>
        <v>6.4190662186696157</v>
      </c>
      <c r="G3" s="13">
        <f t="shared" ref="G3:G50" si="0">E3+$F$50-$E$3</f>
        <v>99.803648100829491</v>
      </c>
      <c r="H3" s="11">
        <f>$G$3-G3</f>
        <v>0</v>
      </c>
      <c r="I3" s="76">
        <f>IF(H3="","",F3-E3+E$3-F$3)</f>
        <v>-2.6645352591003757E-15</v>
      </c>
      <c r="J3" s="78">
        <f>F3+E3-J$1</f>
        <v>6.1311032310797628</v>
      </c>
      <c r="K3" s="99">
        <f>IF(T0_Korrektur!I3=-999,-999,T0_Korrektur!J3*ABS(T0_Korrektur!B3-T0_Korrektur!I$1)/T0_Korrektur!I3)</f>
        <v>-999</v>
      </c>
      <c r="L3" s="74">
        <f>IF(T0_Korrektur!K3=-999,-999,T0_Korrektur!L3*ABS(T0_Korrektur!B3-T0_Korrektur!K$1)/T0_Korrektur!K3)</f>
        <v>-999</v>
      </c>
      <c r="M3" s="11">
        <f t="shared" ref="M3:M50" si="1">IF(K3="","",$K$3-K3)</f>
        <v>0</v>
      </c>
      <c r="N3" s="76">
        <f>IF(M3="","",L3-K3+K$3-L$3)</f>
        <v>0</v>
      </c>
      <c r="O3" s="78" t="e">
        <f>L3+K3-O$1</f>
        <v>#DIV/0!</v>
      </c>
      <c r="P3" s="72">
        <f>IF(T0_Korrektur!M3=-999,-999,T0_Korrektur!N3*ABS(T0_Korrektur!B3-T0_Korrektur!M$1)/T0_Korrektur!M3)</f>
        <v>-999</v>
      </c>
      <c r="Q3" s="91">
        <f>IF(T0_Korrektur!O3=-999,-999,T0_Korrektur!P3*ABS(T0_Korrektur!B3-T0_Korrektur!O$1)/T0_Korrektur!O3)</f>
        <v>-999</v>
      </c>
      <c r="R3" s="11">
        <f>IF(P3="","",$P$3-P3)</f>
        <v>0</v>
      </c>
      <c r="S3" s="76">
        <f>IF(R3="","",Q3-P3+P$3-Q$3)</f>
        <v>0</v>
      </c>
      <c r="T3" s="78" t="e">
        <f>Q3+P3-T$1</f>
        <v>#DIV/0!</v>
      </c>
      <c r="U3" s="3"/>
    </row>
    <row r="4" spans="1:21" x14ac:dyDescent="0.2">
      <c r="A4" s="10">
        <v>2</v>
      </c>
      <c r="B4" s="10">
        <f>'Picks importieren'!B5</f>
        <v>2.5</v>
      </c>
      <c r="C4" s="95">
        <f>T0_Korrektur!D4*ABS(T0_Korrektur!B4-T0_Korrektur!C$1)/T0_Korrektur!C4</f>
        <v>68.814987134317761</v>
      </c>
      <c r="D4" s="95"/>
      <c r="E4" s="96">
        <f>T0_Korrektur!F4*ABS(T0_Korrektur!B4-T0_Korrektur!E$1)/T0_Korrektur!E4</f>
        <v>100.50752832074443</v>
      </c>
      <c r="F4" s="97">
        <f>T0_Korrektur!H4*ABS(T0_Korrektur!B4-T0_Korrektur!G$1)/T0_Korrektur!G4</f>
        <v>12.827588529712287</v>
      </c>
      <c r="G4" s="13">
        <f t="shared" si="0"/>
        <v>99.394573425592029</v>
      </c>
      <c r="H4" s="11">
        <f t="shared" ref="H4:H50" si="2">$G$3-G4</f>
        <v>0.40907467523746277</v>
      </c>
      <c r="I4" s="76">
        <f t="shared" ref="I4:I50" si="3">IF(H4="","",F4-E4+E$3-F$3)</f>
        <v>6.817596986280134</v>
      </c>
      <c r="J4" s="78">
        <f t="shared" ref="J4:J50" si="4">F4+E4-J$1</f>
        <v>12.130550866884974</v>
      </c>
      <c r="K4" s="99">
        <f>IF(T0_Korrektur!I4=-999,-999,T0_Korrektur!J4*ABS(T0_Korrektur!B4-T0_Korrektur!I$1)/T0_Korrektur!I4)</f>
        <v>-999</v>
      </c>
      <c r="L4" s="74">
        <f>IF(T0_Korrektur!K4=-999,-999,T0_Korrektur!L4*ABS(T0_Korrektur!B4-T0_Korrektur!K$1)/T0_Korrektur!K4)</f>
        <v>-999</v>
      </c>
      <c r="M4" s="11">
        <f t="shared" si="1"/>
        <v>0</v>
      </c>
      <c r="N4" s="76">
        <f t="shared" ref="N4:N50" si="5">IF(M4="","",L4-K4+K$3-L$3)</f>
        <v>0</v>
      </c>
      <c r="O4" s="78" t="e">
        <f t="shared" ref="O4:O50" si="6">L4+K4-O$1</f>
        <v>#DIV/0!</v>
      </c>
      <c r="P4" s="72">
        <f>IF(T0_Korrektur!M4=-999,-999,T0_Korrektur!N4*ABS(T0_Korrektur!B4-T0_Korrektur!M$1)/T0_Korrektur!M4)</f>
        <v>-999</v>
      </c>
      <c r="Q4" s="91">
        <f>IF(T0_Korrektur!O4=-999,-999,T0_Korrektur!P4*ABS(T0_Korrektur!B4-T0_Korrektur!O$1)/T0_Korrektur!O4)</f>
        <v>-999</v>
      </c>
      <c r="R4" s="11">
        <f t="shared" ref="R4:R50" si="7">IF(P4="","",$P$3-P4)</f>
        <v>0</v>
      </c>
      <c r="S4" s="76">
        <f t="shared" ref="S4:S50" si="8">IF(R4="","",Q4-P4+P$3-Q$3)</f>
        <v>0</v>
      </c>
      <c r="T4" s="78" t="e">
        <f t="shared" ref="T4:T50" si="9">Q4+P4-T$1</f>
        <v>#DIV/0!</v>
      </c>
      <c r="U4" s="3"/>
    </row>
    <row r="5" spans="1:21" x14ac:dyDescent="0.2">
      <c r="A5" s="10">
        <v>3</v>
      </c>
      <c r="B5" s="10">
        <f>'Picks importieren'!B6</f>
        <v>5</v>
      </c>
      <c r="C5" s="95">
        <f>T0_Korrektur!D5*ABS(T0_Korrektur!B5-T0_Korrektur!C$1)/T0_Korrektur!C5</f>
        <v>67.996800790788086</v>
      </c>
      <c r="D5" s="95"/>
      <c r="E5" s="96">
        <f>T0_Korrektur!F5*ABS(T0_Korrektur!B5-T0_Korrektur!E$1)/T0_Korrektur!E5</f>
        <v>100.09845086577002</v>
      </c>
      <c r="F5" s="97">
        <f>T0_Korrektur!H5*ABS(T0_Korrektur!B5-T0_Korrektur!G$1)/T0_Korrektur!G5</f>
        <v>17.992276726005908</v>
      </c>
      <c r="G5" s="13">
        <f t="shared" si="0"/>
        <v>98.98549597061762</v>
      </c>
      <c r="H5" s="11">
        <f t="shared" si="2"/>
        <v>0.81815213021187105</v>
      </c>
      <c r="I5" s="76">
        <f t="shared" si="3"/>
        <v>12.391362637548166</v>
      </c>
      <c r="J5" s="78">
        <f t="shared" si="4"/>
        <v>16.886161608204191</v>
      </c>
      <c r="K5" s="99">
        <f>IF(T0_Korrektur!I5=-999,-999,T0_Korrektur!J5*ABS(T0_Korrektur!B5-T0_Korrektur!I$1)/T0_Korrektur!I5)</f>
        <v>-999</v>
      </c>
      <c r="L5" s="74">
        <f>IF(T0_Korrektur!K5=-999,-999,T0_Korrektur!L5*ABS(T0_Korrektur!B5-T0_Korrektur!K$1)/T0_Korrektur!K5)</f>
        <v>-999</v>
      </c>
      <c r="M5" s="11">
        <f t="shared" si="1"/>
        <v>0</v>
      </c>
      <c r="N5" s="76">
        <f t="shared" si="5"/>
        <v>0</v>
      </c>
      <c r="O5" s="78" t="e">
        <f t="shared" si="6"/>
        <v>#DIV/0!</v>
      </c>
      <c r="P5" s="72">
        <f>IF(T0_Korrektur!M5=-999,-999,T0_Korrektur!N5*ABS(T0_Korrektur!B5-T0_Korrektur!M$1)/T0_Korrektur!M5)</f>
        <v>-999</v>
      </c>
      <c r="Q5" s="91">
        <f>IF(T0_Korrektur!O5=-999,-999,T0_Korrektur!P5*ABS(T0_Korrektur!B5-T0_Korrektur!O$1)/T0_Korrektur!O5)</f>
        <v>-999</v>
      </c>
      <c r="R5" s="11">
        <f t="shared" si="7"/>
        <v>0</v>
      </c>
      <c r="S5" s="76">
        <f t="shared" si="8"/>
        <v>0</v>
      </c>
      <c r="T5" s="78" t="e">
        <f t="shared" si="9"/>
        <v>#DIV/0!</v>
      </c>
      <c r="U5" s="3"/>
    </row>
    <row r="6" spans="1:21" x14ac:dyDescent="0.2">
      <c r="A6" s="10">
        <v>4</v>
      </c>
      <c r="B6" s="10">
        <f>'Picks importieren'!B7</f>
        <v>7.5</v>
      </c>
      <c r="C6" s="95">
        <f>T0_Korrektur!D6*ABS(T0_Korrektur!B6-T0_Korrektur!C$1)/T0_Korrektur!C6</f>
        <v>67.178576839881984</v>
      </c>
      <c r="D6" s="95"/>
      <c r="E6" s="96">
        <f>T0_Korrektur!F6*ABS(T0_Korrektur!B6-T0_Korrektur!E$1)/T0_Korrektur!E6</f>
        <v>99.280885359077502</v>
      </c>
      <c r="F6" s="97">
        <f>T0_Korrektur!H6*ABS(T0_Korrektur!B6-T0_Korrektur!G$1)/T0_Korrektur!G6</f>
        <v>23.251035773881362</v>
      </c>
      <c r="G6" s="13">
        <f t="shared" si="0"/>
        <v>98.167930463925103</v>
      </c>
      <c r="H6" s="11">
        <f t="shared" si="2"/>
        <v>1.6357176369043884</v>
      </c>
      <c r="I6" s="76">
        <f t="shared" si="3"/>
        <v>18.467687192116141</v>
      </c>
      <c r="J6" s="78">
        <f t="shared" si="4"/>
        <v>21.327355149387131</v>
      </c>
      <c r="K6" s="99">
        <f>IF(T0_Korrektur!I6=-999,-999,T0_Korrektur!J6*ABS(T0_Korrektur!B6-T0_Korrektur!I$1)/T0_Korrektur!I6)</f>
        <v>-999</v>
      </c>
      <c r="L6" s="74">
        <f>IF(T0_Korrektur!K6=-999,-999,T0_Korrektur!L6*ABS(T0_Korrektur!B6-T0_Korrektur!K$1)/T0_Korrektur!K6)</f>
        <v>-999</v>
      </c>
      <c r="M6" s="11">
        <f t="shared" si="1"/>
        <v>0</v>
      </c>
      <c r="N6" s="76">
        <f t="shared" si="5"/>
        <v>0</v>
      </c>
      <c r="O6" s="78" t="e">
        <f t="shared" si="6"/>
        <v>#DIV/0!</v>
      </c>
      <c r="P6" s="72">
        <f>IF(T0_Korrektur!M6=-999,-999,T0_Korrektur!N6*ABS(T0_Korrektur!B6-T0_Korrektur!M$1)/T0_Korrektur!M6)</f>
        <v>-999</v>
      </c>
      <c r="Q6" s="91">
        <f>IF(T0_Korrektur!O6=-999,-999,T0_Korrektur!P6*ABS(T0_Korrektur!B6-T0_Korrektur!O$1)/T0_Korrektur!O6)</f>
        <v>-999</v>
      </c>
      <c r="R6" s="11">
        <f t="shared" si="7"/>
        <v>0</v>
      </c>
      <c r="S6" s="76">
        <f t="shared" si="8"/>
        <v>0</v>
      </c>
      <c r="T6" s="78" t="e">
        <f t="shared" si="9"/>
        <v>#DIV/0!</v>
      </c>
      <c r="U6" s="3"/>
    </row>
    <row r="7" spans="1:21" x14ac:dyDescent="0.2">
      <c r="A7" s="10">
        <v>5</v>
      </c>
      <c r="B7" s="10">
        <f>'Picks importieren'!B8</f>
        <v>10</v>
      </c>
      <c r="C7" s="95">
        <f>T0_Korrektur!D7*ABS(T0_Korrektur!B7-T0_Korrektur!C$1)/T0_Korrektur!C7</f>
        <v>66.360411079834336</v>
      </c>
      <c r="D7" s="95"/>
      <c r="E7" s="96">
        <f>T0_Korrektur!F7*ABS(T0_Korrektur!B7-T0_Korrektur!E$1)/T0_Korrektur!E7</f>
        <v>98.463217587675302</v>
      </c>
      <c r="F7" s="97">
        <f>T0_Korrektur!H7*ABS(T0_Korrektur!B7-T0_Korrektur!G$1)/T0_Korrektur!G7</f>
        <v>28.579508021342949</v>
      </c>
      <c r="G7" s="13">
        <f t="shared" si="0"/>
        <v>97.350262692522904</v>
      </c>
      <c r="H7" s="11">
        <f t="shared" si="2"/>
        <v>2.4533854083065876</v>
      </c>
      <c r="I7" s="76">
        <f t="shared" si="3"/>
        <v>24.613827210979917</v>
      </c>
      <c r="J7" s="78">
        <f t="shared" si="4"/>
        <v>25.838159625446508</v>
      </c>
      <c r="K7" s="99">
        <f>IF(T0_Korrektur!I7=-999,-999,T0_Korrektur!J7*ABS(T0_Korrektur!B7-T0_Korrektur!I$1)/T0_Korrektur!I7)</f>
        <v>-999</v>
      </c>
      <c r="L7" s="74">
        <f>IF(T0_Korrektur!K7=-999,-999,T0_Korrektur!L7*ABS(T0_Korrektur!B7-T0_Korrektur!K$1)/T0_Korrektur!K7)</f>
        <v>-999</v>
      </c>
      <c r="M7" s="11">
        <f t="shared" si="1"/>
        <v>0</v>
      </c>
      <c r="N7" s="76">
        <f t="shared" si="5"/>
        <v>0</v>
      </c>
      <c r="O7" s="78" t="e">
        <f t="shared" si="6"/>
        <v>#DIV/0!</v>
      </c>
      <c r="P7" s="72">
        <f>IF(T0_Korrektur!M7=-999,-999,T0_Korrektur!N7*ABS(T0_Korrektur!B7-T0_Korrektur!M$1)/T0_Korrektur!M7)</f>
        <v>-999</v>
      </c>
      <c r="Q7" s="91">
        <f>IF(T0_Korrektur!O7=-999,-999,T0_Korrektur!P7*ABS(T0_Korrektur!B7-T0_Korrektur!O$1)/T0_Korrektur!O7)</f>
        <v>-999</v>
      </c>
      <c r="R7" s="11">
        <f t="shared" si="7"/>
        <v>0</v>
      </c>
      <c r="S7" s="76">
        <f t="shared" si="8"/>
        <v>0</v>
      </c>
      <c r="T7" s="78" t="e">
        <f t="shared" si="9"/>
        <v>#DIV/0!</v>
      </c>
      <c r="U7" s="3"/>
    </row>
    <row r="8" spans="1:21" x14ac:dyDescent="0.2">
      <c r="A8" s="10">
        <v>6</v>
      </c>
      <c r="B8" s="10">
        <f>'Picks importieren'!B9</f>
        <v>15</v>
      </c>
      <c r="C8" s="95">
        <f>T0_Korrektur!D8*ABS(T0_Korrektur!B8-T0_Korrektur!C$1)/T0_Korrektur!C8</f>
        <v>63.701857980550059</v>
      </c>
      <c r="D8" s="95"/>
      <c r="E8" s="96">
        <f>T0_Korrektur!F8*ABS(T0_Korrektur!B8-T0_Korrektur!E$1)/T0_Korrektur!E8</f>
        <v>97.032066710119381</v>
      </c>
      <c r="F8" s="97">
        <f>T0_Korrektur!H8*ABS(T0_Korrektur!B8-T0_Korrektur!G$1)/T0_Korrektur!G8</f>
        <v>32.543802851155412</v>
      </c>
      <c r="G8" s="13">
        <f t="shared" si="0"/>
        <v>95.919111814966982</v>
      </c>
      <c r="H8" s="11">
        <f t="shared" si="2"/>
        <v>3.8845362858625094</v>
      </c>
      <c r="I8" s="76">
        <f t="shared" si="3"/>
        <v>30.009272918348312</v>
      </c>
      <c r="J8" s="78">
        <f t="shared" si="4"/>
        <v>28.37130357770306</v>
      </c>
      <c r="K8" s="99">
        <f>IF(T0_Korrektur!I8=-999,-999,T0_Korrektur!J8*ABS(T0_Korrektur!B8-T0_Korrektur!I$1)/T0_Korrektur!I8)</f>
        <v>-999</v>
      </c>
      <c r="L8" s="74">
        <f>IF(T0_Korrektur!K8=-999,-999,T0_Korrektur!L8*ABS(T0_Korrektur!B8-T0_Korrektur!K$1)/T0_Korrektur!K8)</f>
        <v>-999</v>
      </c>
      <c r="M8" s="11">
        <f t="shared" si="1"/>
        <v>0</v>
      </c>
      <c r="N8" s="76">
        <f t="shared" si="5"/>
        <v>0</v>
      </c>
      <c r="O8" s="78" t="e">
        <f t="shared" si="6"/>
        <v>#DIV/0!</v>
      </c>
      <c r="P8" s="72">
        <f>IF(T0_Korrektur!M8=-999,-999,T0_Korrektur!N8*ABS(T0_Korrektur!B8-T0_Korrektur!M$1)/T0_Korrektur!M8)</f>
        <v>-999</v>
      </c>
      <c r="Q8" s="91">
        <f>IF(T0_Korrektur!O8=-999,-999,T0_Korrektur!P8*ABS(T0_Korrektur!B8-T0_Korrektur!O$1)/T0_Korrektur!O8)</f>
        <v>-999</v>
      </c>
      <c r="R8" s="11">
        <f t="shared" si="7"/>
        <v>0</v>
      </c>
      <c r="S8" s="76">
        <f t="shared" si="8"/>
        <v>0</v>
      </c>
      <c r="T8" s="78" t="e">
        <f t="shared" si="9"/>
        <v>#DIV/0!</v>
      </c>
      <c r="U8" s="3"/>
    </row>
    <row r="9" spans="1:21" x14ac:dyDescent="0.2">
      <c r="A9" s="10">
        <v>7</v>
      </c>
      <c r="B9" s="10">
        <f>'Picks importieren'!B10</f>
        <v>20</v>
      </c>
      <c r="C9" s="95">
        <f>T0_Korrektur!D9*ABS(T0_Korrektur!B9-T0_Korrektur!C$1)/T0_Korrektur!C9</f>
        <v>61.860727333190077</v>
      </c>
      <c r="D9" s="95"/>
      <c r="E9" s="96">
        <f>T0_Korrektur!F9*ABS(T0_Korrektur!B9-T0_Korrektur!E$1)/T0_Korrektur!E9</f>
        <v>95.601004351725422</v>
      </c>
      <c r="F9" s="97">
        <f>T0_Korrektur!H9*ABS(T0_Korrektur!B9-T0_Korrektur!G$1)/T0_Korrektur!G9</f>
        <v>35.674423914362258</v>
      </c>
      <c r="G9" s="13">
        <f t="shared" si="0"/>
        <v>94.488049456573009</v>
      </c>
      <c r="H9" s="11">
        <f t="shared" si="2"/>
        <v>5.3155986442564824</v>
      </c>
      <c r="I9" s="76">
        <f t="shared" si="3"/>
        <v>34.570956339949113</v>
      </c>
      <c r="J9" s="78">
        <f t="shared" si="4"/>
        <v>30.070862282515947</v>
      </c>
      <c r="K9" s="99">
        <f>IF(T0_Korrektur!I9=-999,-999,T0_Korrektur!J9*ABS(T0_Korrektur!B9-T0_Korrektur!I$1)/T0_Korrektur!I9)</f>
        <v>-999</v>
      </c>
      <c r="L9" s="74">
        <f>IF(T0_Korrektur!K9=-999,-999,T0_Korrektur!L9*ABS(T0_Korrektur!B9-T0_Korrektur!K$1)/T0_Korrektur!K9)</f>
        <v>-999</v>
      </c>
      <c r="M9" s="11">
        <f t="shared" si="1"/>
        <v>0</v>
      </c>
      <c r="N9" s="76">
        <f t="shared" si="5"/>
        <v>0</v>
      </c>
      <c r="O9" s="78" t="e">
        <f t="shared" si="6"/>
        <v>#DIV/0!</v>
      </c>
      <c r="P9" s="72">
        <f>IF(T0_Korrektur!M9=-999,-999,T0_Korrektur!N9*ABS(T0_Korrektur!B9-T0_Korrektur!M$1)/T0_Korrektur!M9)</f>
        <v>-999</v>
      </c>
      <c r="Q9" s="91">
        <f>IF(T0_Korrektur!O9=-999,-999,T0_Korrektur!P9*ABS(T0_Korrektur!B9-T0_Korrektur!O$1)/T0_Korrektur!O9)</f>
        <v>-999</v>
      </c>
      <c r="R9" s="11">
        <f t="shared" si="7"/>
        <v>0</v>
      </c>
      <c r="S9" s="76">
        <f t="shared" si="8"/>
        <v>0</v>
      </c>
      <c r="T9" s="78" t="e">
        <f t="shared" si="9"/>
        <v>#DIV/0!</v>
      </c>
      <c r="U9" s="3"/>
    </row>
    <row r="10" spans="1:21" x14ac:dyDescent="0.2">
      <c r="A10" s="10">
        <v>8</v>
      </c>
      <c r="B10" s="10">
        <f>'Picks importieren'!B11</f>
        <v>25</v>
      </c>
      <c r="C10" s="95">
        <f>T0_Korrektur!D10*ABS(T0_Korrektur!B10-T0_Korrektur!C$1)/T0_Korrektur!C10</f>
        <v>59.814876630525745</v>
      </c>
      <c r="D10" s="95"/>
      <c r="E10" s="96">
        <f>T0_Korrektur!F10*ABS(T0_Korrektur!B10-T0_Korrektur!E$1)/T0_Korrektur!E10</f>
        <v>94.374320191874475</v>
      </c>
      <c r="F10" s="97">
        <f>T0_Korrektur!H10*ABS(T0_Korrektur!B10-T0_Korrektur!G$1)/T0_Korrektur!G10</f>
        <v>38.28607319169425</v>
      </c>
      <c r="G10" s="13">
        <f t="shared" si="0"/>
        <v>93.261365296722062</v>
      </c>
      <c r="H10" s="11">
        <f t="shared" si="2"/>
        <v>6.5422828041074297</v>
      </c>
      <c r="I10" s="76">
        <f t="shared" si="3"/>
        <v>38.409289777132052</v>
      </c>
      <c r="J10" s="78">
        <f t="shared" si="4"/>
        <v>31.455827399996991</v>
      </c>
      <c r="K10" s="99">
        <f>IF(T0_Korrektur!I10=-999,-999,T0_Korrektur!J10*ABS(T0_Korrektur!B10-T0_Korrektur!I$1)/T0_Korrektur!I10)</f>
        <v>-999</v>
      </c>
      <c r="L10" s="74">
        <f>IF(T0_Korrektur!K10=-999,-999,T0_Korrektur!L10*ABS(T0_Korrektur!B10-T0_Korrektur!K$1)/T0_Korrektur!K10)</f>
        <v>-999</v>
      </c>
      <c r="M10" s="11">
        <f t="shared" si="1"/>
        <v>0</v>
      </c>
      <c r="N10" s="76">
        <f t="shared" si="5"/>
        <v>0</v>
      </c>
      <c r="O10" s="78" t="e">
        <f t="shared" si="6"/>
        <v>#DIV/0!</v>
      </c>
      <c r="P10" s="72">
        <f>IF(T0_Korrektur!M10=-999,-999,T0_Korrektur!N10*ABS(T0_Korrektur!B10-T0_Korrektur!M$1)/T0_Korrektur!M10)</f>
        <v>-999</v>
      </c>
      <c r="Q10" s="91">
        <f>IF(T0_Korrektur!O10=-999,-999,T0_Korrektur!P10*ABS(T0_Korrektur!B10-T0_Korrektur!O$1)/T0_Korrektur!O10)</f>
        <v>-999</v>
      </c>
      <c r="R10" s="11">
        <f t="shared" si="7"/>
        <v>0</v>
      </c>
      <c r="S10" s="76">
        <f t="shared" si="8"/>
        <v>0</v>
      </c>
      <c r="T10" s="78" t="e">
        <f t="shared" si="9"/>
        <v>#DIV/0!</v>
      </c>
      <c r="U10" s="3"/>
    </row>
    <row r="11" spans="1:21" x14ac:dyDescent="0.2">
      <c r="A11" s="10">
        <v>9</v>
      </c>
      <c r="B11" s="10">
        <f>'Picks importieren'!B12</f>
        <v>30</v>
      </c>
      <c r="C11" s="95">
        <f>T0_Korrektur!D11*ABS(T0_Korrektur!B11-T0_Korrektur!C$1)/T0_Korrektur!C11</f>
        <v>57.155685873949466</v>
      </c>
      <c r="D11" s="95"/>
      <c r="E11" s="96">
        <f>T0_Korrektur!F11*ABS(T0_Korrektur!B11-T0_Korrektur!E$1)/T0_Korrektur!E11</f>
        <v>92.534349543317219</v>
      </c>
      <c r="F11" s="97">
        <f>T0_Korrektur!H11*ABS(T0_Korrektur!B11-T0_Korrektur!G$1)/T0_Korrektur!G11</f>
        <v>41.103107291090183</v>
      </c>
      <c r="G11" s="13">
        <f t="shared" si="0"/>
        <v>91.421394648164807</v>
      </c>
      <c r="H11" s="11">
        <f t="shared" si="2"/>
        <v>8.3822534526646848</v>
      </c>
      <c r="I11" s="76">
        <f t="shared" si="3"/>
        <v>43.06629452508524</v>
      </c>
      <c r="J11" s="78">
        <f t="shared" si="4"/>
        <v>32.432890850835662</v>
      </c>
      <c r="K11" s="99">
        <f>IF(T0_Korrektur!I11=-999,-999,T0_Korrektur!J11*ABS(T0_Korrektur!B11-T0_Korrektur!I$1)/T0_Korrektur!I11)</f>
        <v>-999</v>
      </c>
      <c r="L11" s="74">
        <f>IF(T0_Korrektur!K11=-999,-999,T0_Korrektur!L11*ABS(T0_Korrektur!B11-T0_Korrektur!K$1)/T0_Korrektur!K11)</f>
        <v>-999</v>
      </c>
      <c r="M11" s="11">
        <f t="shared" si="1"/>
        <v>0</v>
      </c>
      <c r="N11" s="76">
        <f t="shared" si="5"/>
        <v>0</v>
      </c>
      <c r="O11" s="78" t="e">
        <f t="shared" si="6"/>
        <v>#DIV/0!</v>
      </c>
      <c r="P11" s="72">
        <f>IF(T0_Korrektur!M11=-999,-999,T0_Korrektur!N11*ABS(T0_Korrektur!B11-T0_Korrektur!M$1)/T0_Korrektur!M11)</f>
        <v>-999</v>
      </c>
      <c r="Q11" s="91">
        <f>IF(T0_Korrektur!O11=-999,-999,T0_Korrektur!P11*ABS(T0_Korrektur!B11-T0_Korrektur!O$1)/T0_Korrektur!O11)</f>
        <v>-999</v>
      </c>
      <c r="R11" s="11">
        <f t="shared" si="7"/>
        <v>0</v>
      </c>
      <c r="S11" s="76">
        <f t="shared" si="8"/>
        <v>0</v>
      </c>
      <c r="T11" s="78" t="e">
        <f t="shared" si="9"/>
        <v>#DIV/0!</v>
      </c>
      <c r="U11" s="3"/>
    </row>
    <row r="12" spans="1:21" x14ac:dyDescent="0.2">
      <c r="A12" s="10">
        <v>10</v>
      </c>
      <c r="B12" s="10">
        <f>'Picks importieren'!B13</f>
        <v>35</v>
      </c>
      <c r="C12" s="95">
        <f>T0_Korrektur!D12*ABS(T0_Korrektur!B12-T0_Korrektur!C$1)/T0_Korrektur!C12</f>
        <v>54.496013656304797</v>
      </c>
      <c r="D12" s="95"/>
      <c r="E12" s="96">
        <f>T0_Korrektur!F12*ABS(T0_Korrektur!B12-T0_Korrektur!E$1)/T0_Korrektur!E12</f>
        <v>90.490075609326482</v>
      </c>
      <c r="F12" s="97">
        <f>T0_Korrektur!H12*ABS(T0_Korrektur!B12-T0_Korrektur!G$1)/T0_Korrektur!G12</f>
        <v>43.676513604626571</v>
      </c>
      <c r="G12" s="13">
        <f t="shared" si="0"/>
        <v>89.377120714174083</v>
      </c>
      <c r="H12" s="11">
        <f t="shared" si="2"/>
        <v>10.426527386655408</v>
      </c>
      <c r="I12" s="76">
        <f t="shared" si="3"/>
        <v>47.683974772612366</v>
      </c>
      <c r="J12" s="78">
        <f t="shared" si="4"/>
        <v>32.962023230381305</v>
      </c>
      <c r="K12" s="99">
        <f>IF(T0_Korrektur!I12=-999,-999,T0_Korrektur!J12*ABS(T0_Korrektur!B12-T0_Korrektur!I$1)/T0_Korrektur!I12)</f>
        <v>-999</v>
      </c>
      <c r="L12" s="74">
        <f>IF(T0_Korrektur!K12=-999,-999,T0_Korrektur!L12*ABS(T0_Korrektur!B12-T0_Korrektur!K$1)/T0_Korrektur!K12)</f>
        <v>-999</v>
      </c>
      <c r="M12" s="11">
        <f t="shared" si="1"/>
        <v>0</v>
      </c>
      <c r="N12" s="76">
        <f t="shared" si="5"/>
        <v>0</v>
      </c>
      <c r="O12" s="78" t="e">
        <f t="shared" si="6"/>
        <v>#DIV/0!</v>
      </c>
      <c r="P12" s="72">
        <f>IF(T0_Korrektur!M12=-999,-999,T0_Korrektur!N12*ABS(T0_Korrektur!B12-T0_Korrektur!M$1)/T0_Korrektur!M12)</f>
        <v>-999</v>
      </c>
      <c r="Q12" s="91">
        <f>IF(T0_Korrektur!O12=-999,-999,T0_Korrektur!P12*ABS(T0_Korrektur!B12-T0_Korrektur!O$1)/T0_Korrektur!O12)</f>
        <v>-999</v>
      </c>
      <c r="R12" s="11">
        <f t="shared" si="7"/>
        <v>0</v>
      </c>
      <c r="S12" s="76">
        <f t="shared" si="8"/>
        <v>0</v>
      </c>
      <c r="T12" s="78" t="e">
        <f t="shared" si="9"/>
        <v>#DIV/0!</v>
      </c>
      <c r="U12" s="3"/>
    </row>
    <row r="13" spans="1:21" x14ac:dyDescent="0.2">
      <c r="A13" s="10">
        <v>11</v>
      </c>
      <c r="B13" s="10">
        <f>'Picks importieren'!B14</f>
        <v>40</v>
      </c>
      <c r="C13" s="95">
        <f>T0_Korrektur!D13*ABS(T0_Korrektur!B13-T0_Korrektur!C$1)/T0_Korrektur!C13</f>
        <v>51.223012232258327</v>
      </c>
      <c r="D13" s="95"/>
      <c r="E13" s="96">
        <f>T0_Korrektur!F13*ABS(T0_Korrektur!B13-T0_Korrektur!E$1)/T0_Korrektur!E13</f>
        <v>88.85446615246228</v>
      </c>
      <c r="F13" s="97">
        <f>T0_Korrektur!H13*ABS(T0_Korrektur!B13-T0_Korrektur!G$1)/T0_Korrektur!G13</f>
        <v>46.24614107578676</v>
      </c>
      <c r="G13" s="13">
        <f t="shared" si="0"/>
        <v>87.741511257309895</v>
      </c>
      <c r="H13" s="11">
        <f t="shared" si="2"/>
        <v>12.062136843519596</v>
      </c>
      <c r="I13" s="76">
        <f t="shared" si="3"/>
        <v>51.889211700636757</v>
      </c>
      <c r="J13" s="78">
        <f t="shared" si="4"/>
        <v>33.896041244677292</v>
      </c>
      <c r="K13" s="99">
        <f>IF(T0_Korrektur!I13=-999,-999,T0_Korrektur!J13*ABS(T0_Korrektur!B13-T0_Korrektur!I$1)/T0_Korrektur!I13)</f>
        <v>-999</v>
      </c>
      <c r="L13" s="74">
        <f>IF(T0_Korrektur!K13=-999,-999,T0_Korrektur!L13*ABS(T0_Korrektur!B13-T0_Korrektur!K$1)/T0_Korrektur!K13)</f>
        <v>-999</v>
      </c>
      <c r="M13" s="11">
        <f t="shared" si="1"/>
        <v>0</v>
      </c>
      <c r="N13" s="76">
        <f t="shared" si="5"/>
        <v>0</v>
      </c>
      <c r="O13" s="78" t="e">
        <f t="shared" si="6"/>
        <v>#DIV/0!</v>
      </c>
      <c r="P13" s="72">
        <f>IF(T0_Korrektur!M13=-999,-999,T0_Korrektur!N13*ABS(T0_Korrektur!B13-T0_Korrektur!M$1)/T0_Korrektur!M13)</f>
        <v>-999</v>
      </c>
      <c r="Q13" s="91">
        <f>IF(T0_Korrektur!O13=-999,-999,T0_Korrektur!P13*ABS(T0_Korrektur!B13-T0_Korrektur!O$1)/T0_Korrektur!O13)</f>
        <v>-999</v>
      </c>
      <c r="R13" s="11">
        <f t="shared" si="7"/>
        <v>0</v>
      </c>
      <c r="S13" s="76">
        <f t="shared" si="8"/>
        <v>0</v>
      </c>
      <c r="T13" s="78" t="e">
        <f t="shared" si="9"/>
        <v>#DIV/0!</v>
      </c>
      <c r="U13" s="3"/>
    </row>
    <row r="14" spans="1:21" x14ac:dyDescent="0.2">
      <c r="A14" s="10">
        <v>12</v>
      </c>
      <c r="B14" s="10">
        <f>'Picks importieren'!B15</f>
        <v>45</v>
      </c>
      <c r="C14" s="95">
        <f>T0_Korrektur!D14*ABS(T0_Korrektur!B14-T0_Korrektur!C$1)/T0_Korrektur!C14</f>
        <v>48.766578505085107</v>
      </c>
      <c r="D14" s="95"/>
      <c r="E14" s="96">
        <f>T0_Korrektur!F14*ABS(T0_Korrektur!B14-T0_Korrektur!E$1)/T0_Korrektur!E14</f>
        <v>87.218938352634339</v>
      </c>
      <c r="F14" s="97">
        <f>T0_Korrektur!H14*ABS(T0_Korrektur!B14-T0_Korrektur!G$1)/T0_Korrektur!G14</f>
        <v>49.069280623977647</v>
      </c>
      <c r="G14" s="13">
        <f t="shared" si="0"/>
        <v>86.105983457481926</v>
      </c>
      <c r="H14" s="11">
        <f t="shared" si="2"/>
        <v>13.697664643347565</v>
      </c>
      <c r="I14" s="76">
        <f t="shared" si="3"/>
        <v>56.347879048655585</v>
      </c>
      <c r="J14" s="78">
        <f t="shared" si="4"/>
        <v>35.083652993040232</v>
      </c>
      <c r="K14" s="99">
        <f>IF(T0_Korrektur!I14=-999,-999,T0_Korrektur!J14*ABS(T0_Korrektur!B14-T0_Korrektur!I$1)/T0_Korrektur!I14)</f>
        <v>-999</v>
      </c>
      <c r="L14" s="74">
        <f>IF(T0_Korrektur!K14=-999,-999,T0_Korrektur!L14*ABS(T0_Korrektur!B14-T0_Korrektur!K$1)/T0_Korrektur!K14)</f>
        <v>-999</v>
      </c>
      <c r="M14" s="11">
        <f t="shared" si="1"/>
        <v>0</v>
      </c>
      <c r="N14" s="76">
        <f t="shared" si="5"/>
        <v>0</v>
      </c>
      <c r="O14" s="78" t="e">
        <f t="shared" si="6"/>
        <v>#DIV/0!</v>
      </c>
      <c r="P14" s="72">
        <f>IF(T0_Korrektur!M14=-999,-999,T0_Korrektur!N14*ABS(T0_Korrektur!B14-T0_Korrektur!M$1)/T0_Korrektur!M14)</f>
        <v>-999</v>
      </c>
      <c r="Q14" s="91">
        <f>IF(T0_Korrektur!O14=-999,-999,T0_Korrektur!P14*ABS(T0_Korrektur!B14-T0_Korrektur!O$1)/T0_Korrektur!O14)</f>
        <v>-999</v>
      </c>
      <c r="R14" s="11">
        <f t="shared" si="7"/>
        <v>0</v>
      </c>
      <c r="S14" s="76">
        <f t="shared" si="8"/>
        <v>0</v>
      </c>
      <c r="T14" s="78" t="e">
        <f t="shared" si="9"/>
        <v>#DIV/0!</v>
      </c>
      <c r="U14" s="3"/>
    </row>
    <row r="15" spans="1:21" x14ac:dyDescent="0.2">
      <c r="A15" s="10">
        <v>13</v>
      </c>
      <c r="B15" s="10">
        <f>'Picks importieren'!B16</f>
        <v>50</v>
      </c>
      <c r="C15" s="95">
        <f>T0_Korrektur!D15*ABS(T0_Korrektur!B15-T0_Korrektur!C$1)/T0_Korrektur!C15</f>
        <v>46.104765379668315</v>
      </c>
      <c r="D15" s="95"/>
      <c r="E15" s="96">
        <f>T0_Korrektur!F15*ABS(T0_Korrektur!B15-T0_Korrektur!E$1)/T0_Korrektur!E15</f>
        <v>85.583289856046349</v>
      </c>
      <c r="F15" s="97">
        <f>T0_Korrektur!H15*ABS(T0_Korrektur!B15-T0_Korrektur!G$1)/T0_Korrektur!G15</f>
        <v>51.89080986948337</v>
      </c>
      <c r="G15" s="13">
        <f t="shared" si="0"/>
        <v>84.47033496089395</v>
      </c>
      <c r="H15" s="11">
        <f t="shared" si="2"/>
        <v>15.333313139935541</v>
      </c>
      <c r="I15" s="76">
        <f t="shared" si="3"/>
        <v>60.805056790749305</v>
      </c>
      <c r="J15" s="78">
        <f t="shared" si="4"/>
        <v>36.269533741957986</v>
      </c>
      <c r="K15" s="99">
        <f>IF(T0_Korrektur!I15=-999,-999,T0_Korrektur!J15*ABS(T0_Korrektur!B15-T0_Korrektur!I$1)/T0_Korrektur!I15)</f>
        <v>-999</v>
      </c>
      <c r="L15" s="74">
        <f>IF(T0_Korrektur!K15=-999,-999,T0_Korrektur!L15*ABS(T0_Korrektur!B15-T0_Korrektur!K$1)/T0_Korrektur!K15)</f>
        <v>-999</v>
      </c>
      <c r="M15" s="11">
        <f t="shared" si="1"/>
        <v>0</v>
      </c>
      <c r="N15" s="76">
        <f t="shared" si="5"/>
        <v>0</v>
      </c>
      <c r="O15" s="78" t="e">
        <f t="shared" si="6"/>
        <v>#DIV/0!</v>
      </c>
      <c r="P15" s="72">
        <f>IF(T0_Korrektur!M15=-999,-999,T0_Korrektur!N15*ABS(T0_Korrektur!B15-T0_Korrektur!M$1)/T0_Korrektur!M15)</f>
        <v>-999</v>
      </c>
      <c r="Q15" s="91">
        <f>IF(T0_Korrektur!O15=-999,-999,T0_Korrektur!P15*ABS(T0_Korrektur!B15-T0_Korrektur!O$1)/T0_Korrektur!O15)</f>
        <v>-999</v>
      </c>
      <c r="R15" s="11">
        <f t="shared" si="7"/>
        <v>0</v>
      </c>
      <c r="S15" s="76">
        <f t="shared" si="8"/>
        <v>0</v>
      </c>
      <c r="T15" s="78" t="e">
        <f t="shared" si="9"/>
        <v>#DIV/0!</v>
      </c>
      <c r="U15" s="3"/>
    </row>
    <row r="16" spans="1:21" x14ac:dyDescent="0.2">
      <c r="A16" s="10">
        <v>14</v>
      </c>
      <c r="B16" s="10">
        <f>'Picks importieren'!B17</f>
        <v>55</v>
      </c>
      <c r="C16" s="95">
        <f>T0_Korrektur!D16*ABS(T0_Korrektur!B16-T0_Korrektur!C$1)/T0_Korrektur!C16</f>
        <v>43.645850818582559</v>
      </c>
      <c r="D16" s="95"/>
      <c r="E16" s="96">
        <f>T0_Korrektur!F16*ABS(T0_Korrektur!B16-T0_Korrektur!E$1)/T0_Korrektur!E16</f>
        <v>84.765364483473263</v>
      </c>
      <c r="F16" s="97">
        <f>T0_Korrektur!H16*ABS(T0_Korrektur!B16-T0_Korrektur!G$1)/T0_Korrektur!G16</f>
        <v>54.327487076635236</v>
      </c>
      <c r="G16" s="13">
        <f t="shared" si="0"/>
        <v>83.652409588320864</v>
      </c>
      <c r="H16" s="11">
        <f t="shared" si="2"/>
        <v>16.151238512508627</v>
      </c>
      <c r="I16" s="76">
        <f t="shared" si="3"/>
        <v>64.05965937047425</v>
      </c>
      <c r="J16" s="78">
        <f t="shared" si="4"/>
        <v>37.888285576536759</v>
      </c>
      <c r="K16" s="99">
        <f>IF(T0_Korrektur!I16=-999,-999,T0_Korrektur!J16*ABS(T0_Korrektur!B16-T0_Korrektur!I$1)/T0_Korrektur!I16)</f>
        <v>-999</v>
      </c>
      <c r="L16" s="74">
        <f>IF(T0_Korrektur!K16=-999,-999,T0_Korrektur!L16*ABS(T0_Korrektur!B16-T0_Korrektur!K$1)/T0_Korrektur!K16)</f>
        <v>-999</v>
      </c>
      <c r="M16" s="11">
        <f t="shared" si="1"/>
        <v>0</v>
      </c>
      <c r="N16" s="76">
        <f t="shared" si="5"/>
        <v>0</v>
      </c>
      <c r="O16" s="78" t="e">
        <f t="shared" si="6"/>
        <v>#DIV/0!</v>
      </c>
      <c r="P16" s="72">
        <f>IF(T0_Korrektur!M16=-999,-999,T0_Korrektur!N16*ABS(T0_Korrektur!B16-T0_Korrektur!M$1)/T0_Korrektur!M16)</f>
        <v>-999</v>
      </c>
      <c r="Q16" s="91">
        <f>IF(T0_Korrektur!O16=-999,-999,T0_Korrektur!P16*ABS(T0_Korrektur!B16-T0_Korrektur!O$1)/T0_Korrektur!O16)</f>
        <v>-999</v>
      </c>
      <c r="R16" s="11">
        <f t="shared" si="7"/>
        <v>0</v>
      </c>
      <c r="S16" s="76">
        <f t="shared" si="8"/>
        <v>0</v>
      </c>
      <c r="T16" s="78" t="e">
        <f t="shared" si="9"/>
        <v>#DIV/0!</v>
      </c>
      <c r="U16" s="3"/>
    </row>
    <row r="17" spans="1:21" x14ac:dyDescent="0.2">
      <c r="A17" s="10">
        <v>15</v>
      </c>
      <c r="B17" s="10">
        <f>'Picks importieren'!B18</f>
        <v>60</v>
      </c>
      <c r="C17" s="95">
        <f>T0_Korrektur!D17*ABS(T0_Korrektur!B17-T0_Korrektur!C$1)/T0_Korrektur!C17</f>
        <v>41.057076657646924</v>
      </c>
      <c r="D17" s="95"/>
      <c r="E17" s="96">
        <f>T0_Korrektur!F17*ABS(T0_Korrektur!B17-T0_Korrektur!E$1)/T0_Korrektur!E17</f>
        <v>83.334147381996971</v>
      </c>
      <c r="F17" s="97">
        <f>T0_Korrektur!H17*ABS(T0_Korrektur!B17-T0_Korrektur!G$1)/T0_Korrektur!G17</f>
        <v>57.559433899422075</v>
      </c>
      <c r="G17" s="13">
        <f t="shared" si="0"/>
        <v>82.221192486844558</v>
      </c>
      <c r="H17" s="11">
        <f t="shared" si="2"/>
        <v>17.582455613984934</v>
      </c>
      <c r="I17" s="76">
        <f t="shared" si="3"/>
        <v>68.722823294737381</v>
      </c>
      <c r="J17" s="78">
        <f t="shared" si="4"/>
        <v>39.689015297847305</v>
      </c>
      <c r="K17" s="99">
        <f>IF(T0_Korrektur!I17=-999,-999,T0_Korrektur!J17*ABS(T0_Korrektur!B17-T0_Korrektur!I$1)/T0_Korrektur!I17)</f>
        <v>-999</v>
      </c>
      <c r="L17" s="74">
        <f>IF(T0_Korrektur!K17=-999,-999,T0_Korrektur!L17*ABS(T0_Korrektur!B17-T0_Korrektur!K$1)/T0_Korrektur!K17)</f>
        <v>-999</v>
      </c>
      <c r="M17" s="11">
        <f t="shared" si="1"/>
        <v>0</v>
      </c>
      <c r="N17" s="76">
        <f t="shared" si="5"/>
        <v>0</v>
      </c>
      <c r="O17" s="78" t="e">
        <f t="shared" si="6"/>
        <v>#DIV/0!</v>
      </c>
      <c r="P17" s="72">
        <f>IF(T0_Korrektur!M17=-999,-999,T0_Korrektur!N17*ABS(T0_Korrektur!B17-T0_Korrektur!M$1)/T0_Korrektur!M17)</f>
        <v>-999</v>
      </c>
      <c r="Q17" s="91">
        <f>IF(T0_Korrektur!O17=-999,-999,T0_Korrektur!P17*ABS(T0_Korrektur!B17-T0_Korrektur!O$1)/T0_Korrektur!O17)</f>
        <v>-999</v>
      </c>
      <c r="R17" s="11">
        <f t="shared" si="7"/>
        <v>0</v>
      </c>
      <c r="S17" s="76">
        <f t="shared" si="8"/>
        <v>0</v>
      </c>
      <c r="T17" s="78" t="e">
        <f t="shared" si="9"/>
        <v>#DIV/0!</v>
      </c>
      <c r="U17" s="3"/>
    </row>
    <row r="18" spans="1:21" x14ac:dyDescent="0.2">
      <c r="A18" s="10">
        <v>16</v>
      </c>
      <c r="B18" s="10">
        <f>'Picks importieren'!B19</f>
        <v>65</v>
      </c>
      <c r="C18" s="95">
        <f>T0_Korrektur!D18*ABS(T0_Korrektur!B18-T0_Korrektur!C$1)/T0_Korrektur!C18</f>
        <v>38.019784445143436</v>
      </c>
      <c r="D18" s="95"/>
      <c r="E18" s="96">
        <f>T0_Korrektur!F18*ABS(T0_Korrektur!B18-T0_Korrektur!E$1)/T0_Korrektur!E18</f>
        <v>81.494027904986567</v>
      </c>
      <c r="F18" s="97">
        <f>T0_Korrektur!H18*ABS(T0_Korrektur!B18-T0_Korrektur!G$1)/T0_Korrektur!G18</f>
        <v>60.014965137919063</v>
      </c>
      <c r="G18" s="13">
        <f t="shared" si="0"/>
        <v>80.381073009834182</v>
      </c>
      <c r="H18" s="11">
        <f t="shared" si="2"/>
        <v>19.422575090995309</v>
      </c>
      <c r="I18" s="76">
        <f t="shared" si="3"/>
        <v>73.018474010244773</v>
      </c>
      <c r="J18" s="78">
        <f t="shared" si="4"/>
        <v>40.304427059333875</v>
      </c>
      <c r="K18" s="99">
        <f>IF(T0_Korrektur!I18=-999,-999,T0_Korrektur!J18*ABS(T0_Korrektur!B18-T0_Korrektur!I$1)/T0_Korrektur!I18)</f>
        <v>-999</v>
      </c>
      <c r="L18" s="74">
        <f>IF(T0_Korrektur!K18=-999,-999,T0_Korrektur!L18*ABS(T0_Korrektur!B18-T0_Korrektur!K$1)/T0_Korrektur!K18)</f>
        <v>-999</v>
      </c>
      <c r="M18" s="11">
        <f t="shared" si="1"/>
        <v>0</v>
      </c>
      <c r="N18" s="76">
        <f t="shared" si="5"/>
        <v>0</v>
      </c>
      <c r="O18" s="78" t="e">
        <f t="shared" si="6"/>
        <v>#DIV/0!</v>
      </c>
      <c r="P18" s="72">
        <f>IF(T0_Korrektur!M18=-999,-999,T0_Korrektur!N18*ABS(T0_Korrektur!B18-T0_Korrektur!M$1)/T0_Korrektur!M18)</f>
        <v>-999</v>
      </c>
      <c r="Q18" s="91">
        <f>IF(T0_Korrektur!O18=-999,-999,T0_Korrektur!P18*ABS(T0_Korrektur!B18-T0_Korrektur!O$1)/T0_Korrektur!O18)</f>
        <v>-999</v>
      </c>
      <c r="R18" s="11">
        <f t="shared" si="7"/>
        <v>0</v>
      </c>
      <c r="S18" s="76">
        <f t="shared" si="8"/>
        <v>0</v>
      </c>
      <c r="T18" s="78" t="e">
        <f t="shared" si="9"/>
        <v>#DIV/0!</v>
      </c>
      <c r="U18" s="3"/>
    </row>
    <row r="19" spans="1:21" x14ac:dyDescent="0.2">
      <c r="A19" s="10">
        <v>17</v>
      </c>
      <c r="B19" s="10">
        <f>'Picks importieren'!B20</f>
        <v>70</v>
      </c>
      <c r="C19" s="95">
        <f>T0_Korrektur!D19*ABS(T0_Korrektur!B19-T0_Korrektur!C$1)/T0_Korrektur!C19</f>
        <v>34.978524959283966</v>
      </c>
      <c r="D19" s="95"/>
      <c r="E19" s="96">
        <f>T0_Korrektur!F19*ABS(T0_Korrektur!B19-T0_Korrektur!E$1)/T0_Korrektur!E19</f>
        <v>80.062741528837947</v>
      </c>
      <c r="F19" s="97">
        <f>T0_Korrektur!H19*ABS(T0_Korrektur!B19-T0_Korrektur!G$1)/T0_Korrektur!G19</f>
        <v>62.878823448010159</v>
      </c>
      <c r="G19" s="13">
        <f t="shared" si="0"/>
        <v>78.949786633685534</v>
      </c>
      <c r="H19" s="11">
        <f t="shared" si="2"/>
        <v>20.853861467143957</v>
      </c>
      <c r="I19" s="76">
        <f t="shared" si="3"/>
        <v>77.313618696484482</v>
      </c>
      <c r="J19" s="78">
        <f t="shared" si="4"/>
        <v>41.736998993276359</v>
      </c>
      <c r="K19" s="99">
        <f>IF(T0_Korrektur!I19=-999,-999,T0_Korrektur!J19*ABS(T0_Korrektur!B19-T0_Korrektur!I$1)/T0_Korrektur!I19)</f>
        <v>-999</v>
      </c>
      <c r="L19" s="74">
        <f>IF(T0_Korrektur!K19=-999,-999,T0_Korrektur!L19*ABS(T0_Korrektur!B19-T0_Korrektur!K$1)/T0_Korrektur!K19)</f>
        <v>-999</v>
      </c>
      <c r="M19" s="11">
        <f t="shared" si="1"/>
        <v>0</v>
      </c>
      <c r="N19" s="76">
        <f t="shared" si="5"/>
        <v>0</v>
      </c>
      <c r="O19" s="78" t="e">
        <f t="shared" si="6"/>
        <v>#DIV/0!</v>
      </c>
      <c r="P19" s="72">
        <f>IF(T0_Korrektur!M19=-999,-999,T0_Korrektur!N19*ABS(T0_Korrektur!B19-T0_Korrektur!M$1)/T0_Korrektur!M19)</f>
        <v>-999</v>
      </c>
      <c r="Q19" s="91">
        <f>IF(T0_Korrektur!O19=-999,-999,T0_Korrektur!P19*ABS(T0_Korrektur!B19-T0_Korrektur!O$1)/T0_Korrektur!O19)</f>
        <v>-999</v>
      </c>
      <c r="R19" s="11">
        <f t="shared" si="7"/>
        <v>0</v>
      </c>
      <c r="S19" s="76">
        <f t="shared" si="8"/>
        <v>0</v>
      </c>
      <c r="T19" s="78" t="e">
        <f t="shared" si="9"/>
        <v>#DIV/0!</v>
      </c>
      <c r="U19" s="3"/>
    </row>
    <row r="20" spans="1:21" x14ac:dyDescent="0.2">
      <c r="A20" s="10">
        <v>18</v>
      </c>
      <c r="B20" s="10">
        <f>'Picks importieren'!B21</f>
        <v>75</v>
      </c>
      <c r="C20" s="95">
        <f>T0_Korrektur!D20*ABS(T0_Korrektur!B20-T0_Korrektur!C$1)/T0_Korrektur!C20</f>
        <v>31.929089868318474</v>
      </c>
      <c r="D20" s="95"/>
      <c r="E20" s="96">
        <f>T0_Korrektur!F20*ABS(T0_Korrektur!B20-T0_Korrektur!E$1)/T0_Korrektur!E20</f>
        <v>78.426929027227033</v>
      </c>
      <c r="F20" s="97">
        <f>T0_Korrektur!H20*ABS(T0_Korrektur!B20-T0_Korrektur!G$1)/T0_Korrektur!G20</f>
        <v>65.731873252372253</v>
      </c>
      <c r="G20" s="13">
        <f t="shared" si="0"/>
        <v>77.313974132074634</v>
      </c>
      <c r="H20" s="11">
        <f t="shared" si="2"/>
        <v>22.489673968754857</v>
      </c>
      <c r="I20" s="76">
        <f t="shared" si="3"/>
        <v>81.802481002457498</v>
      </c>
      <c r="J20" s="78">
        <f t="shared" si="4"/>
        <v>42.954236296027545</v>
      </c>
      <c r="K20" s="99">
        <f>IF(T0_Korrektur!I20=-999,-999,T0_Korrektur!J20*ABS(T0_Korrektur!B20-T0_Korrektur!I$1)/T0_Korrektur!I20)</f>
        <v>-999</v>
      </c>
      <c r="L20" s="74">
        <f>IF(T0_Korrektur!K20=-999,-999,T0_Korrektur!L20*ABS(T0_Korrektur!B20-T0_Korrektur!K$1)/T0_Korrektur!K20)</f>
        <v>-999</v>
      </c>
      <c r="M20" s="11">
        <f t="shared" si="1"/>
        <v>0</v>
      </c>
      <c r="N20" s="76">
        <f t="shared" si="5"/>
        <v>0</v>
      </c>
      <c r="O20" s="78" t="e">
        <f t="shared" si="6"/>
        <v>#DIV/0!</v>
      </c>
      <c r="P20" s="72">
        <f>IF(T0_Korrektur!M20=-999,-999,T0_Korrektur!N20*ABS(T0_Korrektur!B20-T0_Korrektur!M$1)/T0_Korrektur!M20)</f>
        <v>-999</v>
      </c>
      <c r="Q20" s="91">
        <f>IF(T0_Korrektur!O20=-999,-999,T0_Korrektur!P20*ABS(T0_Korrektur!B20-T0_Korrektur!O$1)/T0_Korrektur!O20)</f>
        <v>-999</v>
      </c>
      <c r="R20" s="11">
        <f t="shared" si="7"/>
        <v>0</v>
      </c>
      <c r="S20" s="76">
        <f t="shared" si="8"/>
        <v>0</v>
      </c>
      <c r="T20" s="78" t="e">
        <f t="shared" si="9"/>
        <v>#DIV/0!</v>
      </c>
      <c r="U20" s="3"/>
    </row>
    <row r="21" spans="1:21" x14ac:dyDescent="0.2">
      <c r="A21" s="10">
        <v>19</v>
      </c>
      <c r="B21" s="10">
        <f>'Picks importieren'!B22</f>
        <v>80</v>
      </c>
      <c r="C21" s="95">
        <f>T0_Korrektur!D21*ABS(T0_Korrektur!B21-T0_Korrektur!C$1)/T0_Korrektur!C21</f>
        <v>28.604297814258164</v>
      </c>
      <c r="D21" s="95"/>
      <c r="E21" s="96">
        <f>T0_Korrektur!F21*ABS(T0_Korrektur!B21-T0_Korrektur!E$1)/T0_Korrektur!E21</f>
        <v>76.791168019748355</v>
      </c>
      <c r="F21" s="97">
        <f>T0_Korrektur!H21*ABS(T0_Korrektur!B21-T0_Korrektur!G$1)/T0_Korrektur!G21</f>
        <v>67.379364505668448</v>
      </c>
      <c r="G21" s="13">
        <f t="shared" si="0"/>
        <v>75.678213124595942</v>
      </c>
      <c r="H21" s="11">
        <f t="shared" si="2"/>
        <v>24.125434976233549</v>
      </c>
      <c r="I21" s="76">
        <f t="shared" si="3"/>
        <v>85.08573326323237</v>
      </c>
      <c r="J21" s="78">
        <f t="shared" si="4"/>
        <v>42.965966541845063</v>
      </c>
      <c r="K21" s="99">
        <f>IF(T0_Korrektur!I21=-999,-999,T0_Korrektur!J21*ABS(T0_Korrektur!B21-T0_Korrektur!I$1)/T0_Korrektur!I21)</f>
        <v>-999</v>
      </c>
      <c r="L21" s="74">
        <f>IF(T0_Korrektur!K21=-999,-999,T0_Korrektur!L21*ABS(T0_Korrektur!B21-T0_Korrektur!K$1)/T0_Korrektur!K21)</f>
        <v>-999</v>
      </c>
      <c r="M21" s="11">
        <f t="shared" si="1"/>
        <v>0</v>
      </c>
      <c r="N21" s="76">
        <f t="shared" si="5"/>
        <v>0</v>
      </c>
      <c r="O21" s="78" t="e">
        <f t="shared" si="6"/>
        <v>#DIV/0!</v>
      </c>
      <c r="P21" s="72">
        <f>IF(T0_Korrektur!M21=-999,-999,T0_Korrektur!N21*ABS(T0_Korrektur!B21-T0_Korrektur!M$1)/T0_Korrektur!M21)</f>
        <v>-999</v>
      </c>
      <c r="Q21" s="91">
        <f>IF(T0_Korrektur!O21=-999,-999,T0_Korrektur!P21*ABS(T0_Korrektur!B21-T0_Korrektur!O$1)/T0_Korrektur!O21)</f>
        <v>-999</v>
      </c>
      <c r="R21" s="11">
        <f t="shared" si="7"/>
        <v>0</v>
      </c>
      <c r="S21" s="76">
        <f t="shared" si="8"/>
        <v>0</v>
      </c>
      <c r="T21" s="78" t="e">
        <f t="shared" si="9"/>
        <v>#DIV/0!</v>
      </c>
      <c r="U21" s="3"/>
    </row>
    <row r="22" spans="1:21" x14ac:dyDescent="0.2">
      <c r="A22" s="10">
        <v>20</v>
      </c>
      <c r="B22" s="10">
        <f>'Picks importieren'!B23</f>
        <v>85</v>
      </c>
      <c r="C22" s="95">
        <f>T0_Korrektur!D22*ABS(T0_Korrektur!B22-T0_Korrektur!C$1)/T0_Korrektur!C22</f>
        <v>22.120667590039286</v>
      </c>
      <c r="D22" s="95"/>
      <c r="E22" s="96">
        <f>T0_Korrektur!F22*ABS(T0_Korrektur!B22-T0_Korrektur!E$1)/T0_Korrektur!E22</f>
        <v>75.564106864342975</v>
      </c>
      <c r="F22" s="97">
        <f>T0_Korrektur!H22*ABS(T0_Korrektur!B22-T0_Korrektur!G$1)/T0_Korrektur!G22</f>
        <v>69.01609830163278</v>
      </c>
      <c r="G22" s="13">
        <f t="shared" si="0"/>
        <v>74.45115196919059</v>
      </c>
      <c r="H22" s="11">
        <f t="shared" si="2"/>
        <v>25.352496131638901</v>
      </c>
      <c r="I22" s="76">
        <f t="shared" si="3"/>
        <v>87.949528214602083</v>
      </c>
      <c r="J22" s="78">
        <f t="shared" si="4"/>
        <v>43.375639182404029</v>
      </c>
      <c r="K22" s="99">
        <f>IF(T0_Korrektur!I22=-999,-999,T0_Korrektur!J22*ABS(T0_Korrektur!B22-T0_Korrektur!I$1)/T0_Korrektur!I22)</f>
        <v>-999</v>
      </c>
      <c r="L22" s="74">
        <f>IF(T0_Korrektur!K22=-999,-999,T0_Korrektur!L22*ABS(T0_Korrektur!B22-T0_Korrektur!K$1)/T0_Korrektur!K22)</f>
        <v>-999</v>
      </c>
      <c r="M22" s="11">
        <f t="shared" si="1"/>
        <v>0</v>
      </c>
      <c r="N22" s="76">
        <f t="shared" si="5"/>
        <v>0</v>
      </c>
      <c r="O22" s="78" t="e">
        <f t="shared" si="6"/>
        <v>#DIV/0!</v>
      </c>
      <c r="P22" s="72">
        <f>IF(T0_Korrektur!M22=-999,-999,T0_Korrektur!N22*ABS(T0_Korrektur!B22-T0_Korrektur!M$1)/T0_Korrektur!M22)</f>
        <v>-999</v>
      </c>
      <c r="Q22" s="91">
        <f>IF(T0_Korrektur!O22=-999,-999,T0_Korrektur!P22*ABS(T0_Korrektur!B22-T0_Korrektur!O$1)/T0_Korrektur!O22)</f>
        <v>-999</v>
      </c>
      <c r="R22" s="11">
        <f t="shared" si="7"/>
        <v>0</v>
      </c>
      <c r="S22" s="76">
        <f t="shared" si="8"/>
        <v>0</v>
      </c>
      <c r="T22" s="78" t="e">
        <f t="shared" si="9"/>
        <v>#DIV/0!</v>
      </c>
      <c r="U22" s="3"/>
    </row>
    <row r="23" spans="1:21" x14ac:dyDescent="0.2">
      <c r="A23" s="10">
        <v>21</v>
      </c>
      <c r="B23" s="10">
        <f>'Picks importieren'!B24</f>
        <v>87.5</v>
      </c>
      <c r="C23" s="95">
        <f>T0_Korrektur!D23*ABS(T0_Korrektur!B23-T0_Korrektur!C$1)/T0_Korrektur!C23</f>
        <v>16.995212476370753</v>
      </c>
      <c r="D23" s="95"/>
      <c r="E23" s="96">
        <f>T0_Korrektur!F23*ABS(T0_Korrektur!B23-T0_Korrektur!E$1)/T0_Korrektur!E23</f>
        <v>74.746121385626509</v>
      </c>
      <c r="F23" s="97">
        <f>T0_Korrektur!H23*ABS(T0_Korrektur!B23-T0_Korrektur!G$1)/T0_Korrektur!G23</f>
        <v>70.728955623171629</v>
      </c>
      <c r="G23" s="13">
        <f t="shared" si="0"/>
        <v>73.63316649047411</v>
      </c>
      <c r="H23" s="11">
        <f t="shared" si="2"/>
        <v>26.170481610355381</v>
      </c>
      <c r="I23" s="76">
        <f t="shared" si="3"/>
        <v>90.480371014857397</v>
      </c>
      <c r="J23" s="78">
        <f t="shared" si="4"/>
        <v>44.270511025226398</v>
      </c>
      <c r="K23" s="99">
        <f>IF(T0_Korrektur!I23=-999,-999,T0_Korrektur!J23*ABS(T0_Korrektur!B23-T0_Korrektur!I$1)/T0_Korrektur!I23)</f>
        <v>-999</v>
      </c>
      <c r="L23" s="74">
        <f>IF(T0_Korrektur!K23=-999,-999,T0_Korrektur!L23*ABS(T0_Korrektur!B23-T0_Korrektur!K$1)/T0_Korrektur!K23)</f>
        <v>-999</v>
      </c>
      <c r="M23" s="11">
        <f t="shared" si="1"/>
        <v>0</v>
      </c>
      <c r="N23" s="76">
        <f t="shared" si="5"/>
        <v>0</v>
      </c>
      <c r="O23" s="78" t="e">
        <f t="shared" si="6"/>
        <v>#DIV/0!</v>
      </c>
      <c r="P23" s="72">
        <f>IF(T0_Korrektur!M23=-999,-999,T0_Korrektur!N23*ABS(T0_Korrektur!B23-T0_Korrektur!M$1)/T0_Korrektur!M23)</f>
        <v>-999</v>
      </c>
      <c r="Q23" s="91">
        <f>IF(T0_Korrektur!O23=-999,-999,T0_Korrektur!P23*ABS(T0_Korrektur!B23-T0_Korrektur!O$1)/T0_Korrektur!O23)</f>
        <v>-999</v>
      </c>
      <c r="R23" s="11">
        <f t="shared" si="7"/>
        <v>0</v>
      </c>
      <c r="S23" s="76">
        <f t="shared" si="8"/>
        <v>0</v>
      </c>
      <c r="T23" s="78" t="e">
        <f t="shared" si="9"/>
        <v>#DIV/0!</v>
      </c>
      <c r="U23" s="3"/>
    </row>
    <row r="24" spans="1:21" x14ac:dyDescent="0.2">
      <c r="A24" s="10">
        <v>22</v>
      </c>
      <c r="B24" s="10">
        <f>'Picks importieren'!B25</f>
        <v>90</v>
      </c>
      <c r="C24" s="95">
        <f>T0_Korrektur!D24*ABS(T0_Korrektur!B24-T0_Korrektur!C$1)/T0_Korrektur!C24</f>
        <v>12.76106507140079</v>
      </c>
      <c r="D24" s="95"/>
      <c r="E24" s="96">
        <f>T0_Korrektur!F24*ABS(T0_Korrektur!B24-T0_Korrektur!E$1)/T0_Korrektur!E24</f>
        <v>74.387964075524195</v>
      </c>
      <c r="F24" s="97">
        <f>T0_Korrektur!H24*ABS(T0_Korrektur!B24-T0_Korrektur!G$1)/T0_Korrektur!G24</f>
        <v>71.061446834438087</v>
      </c>
      <c r="G24" s="13">
        <f t="shared" si="0"/>
        <v>73.275009180371796</v>
      </c>
      <c r="H24" s="11">
        <f t="shared" si="2"/>
        <v>26.528638920457695</v>
      </c>
      <c r="I24" s="76">
        <f t="shared" si="3"/>
        <v>91.171019536226169</v>
      </c>
      <c r="J24" s="78">
        <f t="shared" si="4"/>
        <v>44.244844926390556</v>
      </c>
      <c r="K24" s="99">
        <f>IF(T0_Korrektur!I24=-999,-999,T0_Korrektur!J24*ABS(T0_Korrektur!B24-T0_Korrektur!I$1)/T0_Korrektur!I24)</f>
        <v>-999</v>
      </c>
      <c r="L24" s="74">
        <f>IF(T0_Korrektur!K24=-999,-999,T0_Korrektur!L24*ABS(T0_Korrektur!B24-T0_Korrektur!K$1)/T0_Korrektur!K24)</f>
        <v>-999</v>
      </c>
      <c r="M24" s="11">
        <f t="shared" si="1"/>
        <v>0</v>
      </c>
      <c r="N24" s="76">
        <f t="shared" si="5"/>
        <v>0</v>
      </c>
      <c r="O24" s="78" t="e">
        <f t="shared" si="6"/>
        <v>#DIV/0!</v>
      </c>
      <c r="P24" s="72">
        <f>IF(T0_Korrektur!M24=-999,-999,T0_Korrektur!N24*ABS(T0_Korrektur!B24-T0_Korrektur!M$1)/T0_Korrektur!M24)</f>
        <v>-999</v>
      </c>
      <c r="Q24" s="91">
        <f>IF(T0_Korrektur!O24=-999,-999,T0_Korrektur!P24*ABS(T0_Korrektur!B24-T0_Korrektur!O$1)/T0_Korrektur!O24)</f>
        <v>-999</v>
      </c>
      <c r="R24" s="11">
        <f t="shared" si="7"/>
        <v>0</v>
      </c>
      <c r="S24" s="76">
        <f t="shared" si="8"/>
        <v>0</v>
      </c>
      <c r="T24" s="78" t="e">
        <f t="shared" si="9"/>
        <v>#DIV/0!</v>
      </c>
      <c r="U24" s="3"/>
    </row>
    <row r="25" spans="1:21" x14ac:dyDescent="0.2">
      <c r="A25" s="10">
        <v>23</v>
      </c>
      <c r="B25" s="10">
        <f>'Picks importieren'!B26</f>
        <v>92.5</v>
      </c>
      <c r="C25" s="95">
        <f>T0_Korrektur!D25*ABS(T0_Korrektur!B25-T0_Korrektur!C$1)/T0_Korrektur!C25</f>
        <v>7.3902755994971532</v>
      </c>
      <c r="D25" s="95"/>
      <c r="E25" s="96">
        <f>T0_Korrektur!F25*ABS(T0_Korrektur!B25-T0_Korrektur!E$1)/T0_Korrektur!E25</f>
        <v>73.493346686116709</v>
      </c>
      <c r="F25" s="97">
        <f>T0_Korrektur!H25*ABS(T0_Korrektur!B25-T0_Korrektur!G$1)/T0_Korrektur!G25</f>
        <v>70.986458975707805</v>
      </c>
      <c r="G25" s="13">
        <f t="shared" si="0"/>
        <v>72.380391790964296</v>
      </c>
      <c r="H25" s="11">
        <f t="shared" si="2"/>
        <v>27.423256309865195</v>
      </c>
      <c r="I25" s="76">
        <f t="shared" si="3"/>
        <v>91.990649066903373</v>
      </c>
      <c r="J25" s="78">
        <f t="shared" si="4"/>
        <v>43.275239678252774</v>
      </c>
      <c r="K25" s="99">
        <f>IF(T0_Korrektur!I25=-999,-999,T0_Korrektur!J25*ABS(T0_Korrektur!B25-T0_Korrektur!I$1)/T0_Korrektur!I25)</f>
        <v>-999</v>
      </c>
      <c r="L25" s="74">
        <f>IF(T0_Korrektur!K25=-999,-999,T0_Korrektur!L25*ABS(T0_Korrektur!B25-T0_Korrektur!K$1)/T0_Korrektur!K25)</f>
        <v>-999</v>
      </c>
      <c r="M25" s="11">
        <f t="shared" si="1"/>
        <v>0</v>
      </c>
      <c r="N25" s="76">
        <f t="shared" si="5"/>
        <v>0</v>
      </c>
      <c r="O25" s="78" t="e">
        <f t="shared" si="6"/>
        <v>#DIV/0!</v>
      </c>
      <c r="P25" s="72">
        <f>IF(T0_Korrektur!M25=-999,-999,T0_Korrektur!N25*ABS(T0_Korrektur!B25-T0_Korrektur!M$1)/T0_Korrektur!M25)</f>
        <v>-999</v>
      </c>
      <c r="Q25" s="91">
        <f>IF(T0_Korrektur!O25=-999,-999,T0_Korrektur!P25*ABS(T0_Korrektur!B25-T0_Korrektur!O$1)/T0_Korrektur!O25)</f>
        <v>-999</v>
      </c>
      <c r="R25" s="11">
        <f t="shared" si="7"/>
        <v>0</v>
      </c>
      <c r="S25" s="76">
        <f t="shared" si="8"/>
        <v>0</v>
      </c>
      <c r="T25" s="78" t="e">
        <f t="shared" si="9"/>
        <v>#DIV/0!</v>
      </c>
      <c r="U25" s="3"/>
    </row>
    <row r="26" spans="1:21" x14ac:dyDescent="0.2">
      <c r="A26" s="10">
        <v>24</v>
      </c>
      <c r="B26" s="10">
        <f>'Picks importieren'!B27</f>
        <v>95</v>
      </c>
      <c r="C26" s="95">
        <f>T0_Korrektur!D26*ABS(T0_Korrektur!B26-T0_Korrektur!C$1)/T0_Korrektur!C26</f>
        <v>1.9004951954129641</v>
      </c>
      <c r="D26" s="95"/>
      <c r="E26" s="96">
        <f>T0_Korrektur!F26*ABS(T0_Korrektur!B26-T0_Korrektur!E$1)/T0_Korrektur!E26</f>
        <v>72.598607972831161</v>
      </c>
      <c r="F26" s="97">
        <f>T0_Korrektur!H26*ABS(T0_Korrektur!B26-T0_Korrektur!G$1)/T0_Korrektur!G26</f>
        <v>71.243060205113892</v>
      </c>
      <c r="G26" s="13">
        <f t="shared" si="0"/>
        <v>71.485653077678762</v>
      </c>
      <c r="H26" s="11">
        <f t="shared" si="2"/>
        <v>28.317995023150729</v>
      </c>
      <c r="I26" s="76">
        <f t="shared" si="3"/>
        <v>93.141989009595008</v>
      </c>
      <c r="J26" s="78">
        <f t="shared" si="4"/>
        <v>42.637102194373313</v>
      </c>
      <c r="K26" s="99">
        <f>IF(T0_Korrektur!I26=-999,-999,T0_Korrektur!J26*ABS(T0_Korrektur!B26-T0_Korrektur!I$1)/T0_Korrektur!I26)</f>
        <v>-999</v>
      </c>
      <c r="L26" s="74">
        <f>IF(T0_Korrektur!K26=-999,-999,T0_Korrektur!L26*ABS(T0_Korrektur!B26-T0_Korrektur!K$1)/T0_Korrektur!K26)</f>
        <v>-999</v>
      </c>
      <c r="M26" s="11">
        <f t="shared" si="1"/>
        <v>0</v>
      </c>
      <c r="N26" s="76">
        <f t="shared" si="5"/>
        <v>0</v>
      </c>
      <c r="O26" s="78" t="e">
        <f t="shared" si="6"/>
        <v>#DIV/0!</v>
      </c>
      <c r="P26" s="72">
        <f>IF(T0_Korrektur!M26=-999,-999,T0_Korrektur!N26*ABS(T0_Korrektur!B26-T0_Korrektur!M$1)/T0_Korrektur!M26)</f>
        <v>-999</v>
      </c>
      <c r="Q26" s="91">
        <f>IF(T0_Korrektur!O26=-999,-999,T0_Korrektur!P26*ABS(T0_Korrektur!B26-T0_Korrektur!O$1)/T0_Korrektur!O26)</f>
        <v>-999</v>
      </c>
      <c r="R26" s="11">
        <f t="shared" si="7"/>
        <v>0</v>
      </c>
      <c r="S26" s="76">
        <f t="shared" si="8"/>
        <v>0</v>
      </c>
      <c r="T26" s="78" t="e">
        <f t="shared" si="9"/>
        <v>#DIV/0!</v>
      </c>
      <c r="U26" s="3"/>
    </row>
    <row r="27" spans="1:21" x14ac:dyDescent="0.2">
      <c r="A27" s="10">
        <v>25</v>
      </c>
      <c r="B27" s="10">
        <f>'Picks importieren'!B28</f>
        <v>97.5</v>
      </c>
      <c r="C27" s="95"/>
      <c r="D27" s="95">
        <f>T0_Korrektur!D27*ABS(T0_Korrektur!B27-T0_Korrektur!C$1)/T0_Korrektur!C27</f>
        <v>2.3848810189594212</v>
      </c>
      <c r="E27" s="96">
        <f>T0_Korrektur!F27*ABS(T0_Korrektur!B27-T0_Korrektur!E$1)/T0_Korrektur!E27</f>
        <v>71.703945838535077</v>
      </c>
      <c r="F27" s="97">
        <f>T0_Korrektur!H27*ABS(T0_Korrektur!B27-T0_Korrektur!G$1)/T0_Korrektur!G27</f>
        <v>72.267793565586771</v>
      </c>
      <c r="G27" s="13">
        <f t="shared" si="0"/>
        <v>70.590990943382678</v>
      </c>
      <c r="H27" s="11">
        <f t="shared" si="2"/>
        <v>29.212657157446813</v>
      </c>
      <c r="I27" s="76">
        <f t="shared" si="3"/>
        <v>95.061384504363971</v>
      </c>
      <c r="J27" s="78">
        <f t="shared" si="4"/>
        <v>42.767173420550108</v>
      </c>
      <c r="K27" s="99">
        <f>IF(T0_Korrektur!I27=-999,-999,T0_Korrektur!J27*ABS(T0_Korrektur!B27-T0_Korrektur!I$1)/T0_Korrektur!I27)</f>
        <v>-999</v>
      </c>
      <c r="L27" s="74">
        <f>IF(T0_Korrektur!K27=-999,-999,T0_Korrektur!L27*ABS(T0_Korrektur!B27-T0_Korrektur!K$1)/T0_Korrektur!K27)</f>
        <v>-999</v>
      </c>
      <c r="M27" s="11">
        <f t="shared" si="1"/>
        <v>0</v>
      </c>
      <c r="N27" s="76">
        <f t="shared" si="5"/>
        <v>0</v>
      </c>
      <c r="O27" s="78" t="e">
        <f t="shared" si="6"/>
        <v>#DIV/0!</v>
      </c>
      <c r="P27" s="72">
        <f>IF(T0_Korrektur!M27=-999,-999,T0_Korrektur!N27*ABS(T0_Korrektur!B27-T0_Korrektur!M$1)/T0_Korrektur!M27)</f>
        <v>-999</v>
      </c>
      <c r="Q27" s="91">
        <f>IF(T0_Korrektur!O27=-999,-999,T0_Korrektur!P27*ABS(T0_Korrektur!B27-T0_Korrektur!O$1)/T0_Korrektur!O27)</f>
        <v>-999</v>
      </c>
      <c r="R27" s="11">
        <f t="shared" si="7"/>
        <v>0</v>
      </c>
      <c r="S27" s="76">
        <f t="shared" si="8"/>
        <v>0</v>
      </c>
      <c r="T27" s="78" t="e">
        <f t="shared" si="9"/>
        <v>#DIV/0!</v>
      </c>
      <c r="U27" s="3"/>
    </row>
    <row r="28" spans="1:21" x14ac:dyDescent="0.2">
      <c r="A28" s="10">
        <v>26</v>
      </c>
      <c r="B28" s="10">
        <f>'Picks importieren'!B29</f>
        <v>100</v>
      </c>
      <c r="C28" s="95"/>
      <c r="D28" s="95">
        <f>T0_Korrektur!D28*ABS(T0_Korrektur!B28-T0_Korrektur!C$1)/T0_Korrektur!C28</f>
        <v>8.3211766715041691</v>
      </c>
      <c r="E28" s="96">
        <f>T0_Korrektur!F28*ABS(T0_Korrektur!B28-T0_Korrektur!E$1)/T0_Korrektur!E28</f>
        <v>70.809257958588788</v>
      </c>
      <c r="F28" s="97">
        <f>T0_Korrektur!H28*ABS(T0_Korrektur!B28-T0_Korrektur!G$1)/T0_Korrektur!G28</f>
        <v>73.420579864768285</v>
      </c>
      <c r="G28" s="13">
        <f t="shared" si="0"/>
        <v>69.696303063436375</v>
      </c>
      <c r="H28" s="11">
        <f>$G$3-G28</f>
        <v>30.107345037393117</v>
      </c>
      <c r="I28" s="76">
        <f t="shared" si="3"/>
        <v>97.108858683491775</v>
      </c>
      <c r="J28" s="78">
        <f t="shared" si="4"/>
        <v>43.025271839785319</v>
      </c>
      <c r="K28" s="99">
        <f>IF(T0_Korrektur!I28=-999,-999,T0_Korrektur!J28*ABS(T0_Korrektur!B28-T0_Korrektur!I$1)/T0_Korrektur!I28)</f>
        <v>-999</v>
      </c>
      <c r="L28" s="74">
        <f>IF(T0_Korrektur!K28=-999,-999,T0_Korrektur!L28*ABS(T0_Korrektur!B28-T0_Korrektur!K$1)/T0_Korrektur!K28)</f>
        <v>-999</v>
      </c>
      <c r="M28" s="11">
        <f t="shared" si="1"/>
        <v>0</v>
      </c>
      <c r="N28" s="76">
        <f t="shared" si="5"/>
        <v>0</v>
      </c>
      <c r="O28" s="78" t="e">
        <f t="shared" si="6"/>
        <v>#DIV/0!</v>
      </c>
      <c r="P28" s="72">
        <f>IF(T0_Korrektur!M28=-999,-999,T0_Korrektur!N28*ABS(T0_Korrektur!B28-T0_Korrektur!M$1)/T0_Korrektur!M28)</f>
        <v>-999</v>
      </c>
      <c r="Q28" s="91">
        <f>IF(T0_Korrektur!O28=-999,-999,T0_Korrektur!P28*ABS(T0_Korrektur!B28-T0_Korrektur!O$1)/T0_Korrektur!O28)</f>
        <v>-999</v>
      </c>
      <c r="R28" s="11">
        <f t="shared" si="7"/>
        <v>0</v>
      </c>
      <c r="S28" s="76">
        <f t="shared" si="8"/>
        <v>0</v>
      </c>
      <c r="T28" s="78" t="e">
        <f t="shared" si="9"/>
        <v>#DIV/0!</v>
      </c>
      <c r="U28" s="3"/>
    </row>
    <row r="29" spans="1:21" x14ac:dyDescent="0.2">
      <c r="A29" s="10">
        <v>27</v>
      </c>
      <c r="B29" s="10">
        <f>'Picks importieren'!B30</f>
        <v>102.5</v>
      </c>
      <c r="C29" s="95"/>
      <c r="D29" s="95">
        <f>T0_Korrektur!D29*ABS(T0_Korrektur!B29-T0_Korrektur!C$1)/T0_Korrektur!C29</f>
        <v>13.352767348335838</v>
      </c>
      <c r="E29" s="96">
        <f>T0_Korrektur!F29*ABS(T0_Korrektur!B29-T0_Korrektur!E$1)/T0_Korrektur!E29</f>
        <v>70.451061432934338</v>
      </c>
      <c r="F29" s="97">
        <f>T0_Korrektur!H29*ABS(T0_Korrektur!B29-T0_Korrektur!G$1)/T0_Korrektur!G29</f>
        <v>74.445261907928611</v>
      </c>
      <c r="G29" s="13">
        <f t="shared" si="0"/>
        <v>69.338106537781954</v>
      </c>
      <c r="H29" s="11">
        <f t="shared" si="2"/>
        <v>30.465541563047537</v>
      </c>
      <c r="I29" s="76">
        <f t="shared" si="3"/>
        <v>98.49173725230655</v>
      </c>
      <c r="J29" s="78">
        <f t="shared" si="4"/>
        <v>43.691757357291209</v>
      </c>
      <c r="K29" s="99">
        <f>IF(T0_Korrektur!I29=-999,-999,T0_Korrektur!J29*ABS(T0_Korrektur!B29-T0_Korrektur!I$1)/T0_Korrektur!I29)</f>
        <v>-999</v>
      </c>
      <c r="L29" s="74">
        <f>IF(T0_Korrektur!K29=-999,-999,T0_Korrektur!L29*ABS(T0_Korrektur!B29-T0_Korrektur!K$1)/T0_Korrektur!K29)</f>
        <v>-999</v>
      </c>
      <c r="M29" s="11">
        <f t="shared" si="1"/>
        <v>0</v>
      </c>
      <c r="N29" s="76">
        <f t="shared" si="5"/>
        <v>0</v>
      </c>
      <c r="O29" s="78" t="e">
        <f t="shared" si="6"/>
        <v>#DIV/0!</v>
      </c>
      <c r="P29" s="72">
        <f>IF(T0_Korrektur!M29=-999,-999,T0_Korrektur!N29*ABS(T0_Korrektur!B29-T0_Korrektur!M$1)/T0_Korrektur!M29)</f>
        <v>-999</v>
      </c>
      <c r="Q29" s="91">
        <f>IF(T0_Korrektur!O29=-999,-999,T0_Korrektur!P29*ABS(T0_Korrektur!B29-T0_Korrektur!O$1)/T0_Korrektur!O29)</f>
        <v>-999</v>
      </c>
      <c r="R29" s="11">
        <f t="shared" si="7"/>
        <v>0</v>
      </c>
      <c r="S29" s="76">
        <f t="shared" si="8"/>
        <v>0</v>
      </c>
      <c r="T29" s="78" t="e">
        <f t="shared" si="9"/>
        <v>#DIV/0!</v>
      </c>
      <c r="U29" s="3"/>
    </row>
    <row r="30" spans="1:21" x14ac:dyDescent="0.2">
      <c r="A30" s="10">
        <v>28</v>
      </c>
      <c r="B30" s="10">
        <f>'Picks importieren'!B31</f>
        <v>105</v>
      </c>
      <c r="C30" s="95"/>
      <c r="D30" s="95">
        <f>T0_Korrektur!D30*ABS(T0_Korrektur!B30-T0_Korrektur!C$1)/T0_Korrektur!C30</f>
        <v>17.353905403007726</v>
      </c>
      <c r="E30" s="96">
        <f>T0_Korrektur!F30*ABS(T0_Korrektur!B30-T0_Korrektur!E$1)/T0_Korrektur!E30</f>
        <v>69.63299713641257</v>
      </c>
      <c r="F30" s="97">
        <f>T0_Korrektur!H30*ABS(T0_Korrektur!B30-T0_Korrektur!G$1)/T0_Korrektur!G30</f>
        <v>75.341939014610716</v>
      </c>
      <c r="G30" s="13">
        <f t="shared" si="0"/>
        <v>68.520042241260171</v>
      </c>
      <c r="H30" s="11">
        <f t="shared" si="2"/>
        <v>31.28360585956932</v>
      </c>
      <c r="I30" s="76">
        <f t="shared" si="3"/>
        <v>100.20647865551042</v>
      </c>
      <c r="J30" s="78">
        <f t="shared" si="4"/>
        <v>43.770370167451546</v>
      </c>
      <c r="K30" s="99">
        <f>IF(T0_Korrektur!I30=-999,-999,T0_Korrektur!J30*ABS(T0_Korrektur!B30-T0_Korrektur!I$1)/T0_Korrektur!I30)</f>
        <v>-999</v>
      </c>
      <c r="L30" s="74">
        <f>IF(T0_Korrektur!K30=-999,-999,T0_Korrektur!L30*ABS(T0_Korrektur!B30-T0_Korrektur!K$1)/T0_Korrektur!K30)</f>
        <v>-999</v>
      </c>
      <c r="M30" s="11">
        <f t="shared" si="1"/>
        <v>0</v>
      </c>
      <c r="N30" s="76">
        <f t="shared" si="5"/>
        <v>0</v>
      </c>
      <c r="O30" s="78" t="e">
        <f t="shared" si="6"/>
        <v>#DIV/0!</v>
      </c>
      <c r="P30" s="72">
        <f>IF(T0_Korrektur!M30=-999,-999,T0_Korrektur!N30*ABS(T0_Korrektur!B30-T0_Korrektur!M$1)/T0_Korrektur!M30)</f>
        <v>-999</v>
      </c>
      <c r="Q30" s="91">
        <f>IF(T0_Korrektur!O30=-999,-999,T0_Korrektur!P30*ABS(T0_Korrektur!B30-T0_Korrektur!O$1)/T0_Korrektur!O30)</f>
        <v>-999</v>
      </c>
      <c r="R30" s="11">
        <f t="shared" si="7"/>
        <v>0</v>
      </c>
      <c r="S30" s="76">
        <f t="shared" si="8"/>
        <v>0</v>
      </c>
      <c r="T30" s="78" t="e">
        <f t="shared" si="9"/>
        <v>#DIV/0!</v>
      </c>
      <c r="U30" s="3"/>
    </row>
    <row r="31" spans="1:21" x14ac:dyDescent="0.2">
      <c r="A31" s="10">
        <v>29</v>
      </c>
      <c r="B31" s="10">
        <f>'Picks importieren'!B32</f>
        <v>107.5</v>
      </c>
      <c r="C31" s="95"/>
      <c r="D31" s="95">
        <f>T0_Korrektur!D31*ABS(T0_Korrektur!B31-T0_Korrektur!C$1)/T0_Korrektur!C31</f>
        <v>21.969582831201912</v>
      </c>
      <c r="E31" s="96">
        <f>T0_Korrektur!F31*ABS(T0_Korrektur!B31-T0_Korrektur!E$1)/T0_Korrektur!E31</f>
        <v>68.610430414888469</v>
      </c>
      <c r="F31" s="97">
        <f>T0_Korrektur!H31*ABS(T0_Korrektur!B31-T0_Korrektur!G$1)/T0_Korrektur!G31</f>
        <v>75.726462094426523</v>
      </c>
      <c r="G31" s="13">
        <f t="shared" si="0"/>
        <v>67.497475519736071</v>
      </c>
      <c r="H31" s="11">
        <f t="shared" si="2"/>
        <v>32.306172581093421</v>
      </c>
      <c r="I31" s="76">
        <f t="shared" si="3"/>
        <v>101.61356845685033</v>
      </c>
      <c r="J31" s="78">
        <f t="shared" si="4"/>
        <v>43.132326525743252</v>
      </c>
      <c r="K31" s="99">
        <f>IF(T0_Korrektur!I31=-999,-999,T0_Korrektur!J31*ABS(T0_Korrektur!B31-T0_Korrektur!I$1)/T0_Korrektur!I31)</f>
        <v>-999</v>
      </c>
      <c r="L31" s="74">
        <f>IF(T0_Korrektur!K31=-999,-999,T0_Korrektur!L31*ABS(T0_Korrektur!B31-T0_Korrektur!K$1)/T0_Korrektur!K31)</f>
        <v>-999</v>
      </c>
      <c r="M31" s="11">
        <f t="shared" si="1"/>
        <v>0</v>
      </c>
      <c r="N31" s="76">
        <f t="shared" si="5"/>
        <v>0</v>
      </c>
      <c r="O31" s="78" t="e">
        <f t="shared" si="6"/>
        <v>#DIV/0!</v>
      </c>
      <c r="P31" s="72">
        <f>IF(T0_Korrektur!M31=-999,-999,T0_Korrektur!N31*ABS(T0_Korrektur!B31-T0_Korrektur!M$1)/T0_Korrektur!M31)</f>
        <v>-999</v>
      </c>
      <c r="Q31" s="91">
        <f>IF(T0_Korrektur!O31=-999,-999,T0_Korrektur!P31*ABS(T0_Korrektur!B31-T0_Korrektur!O$1)/T0_Korrektur!O31)</f>
        <v>-999</v>
      </c>
      <c r="R31" s="11">
        <f t="shared" si="7"/>
        <v>0</v>
      </c>
      <c r="S31" s="76">
        <f t="shared" si="8"/>
        <v>0</v>
      </c>
      <c r="T31" s="78" t="e">
        <f t="shared" si="9"/>
        <v>#DIV/0!</v>
      </c>
      <c r="U31" s="3"/>
    </row>
    <row r="32" spans="1:21" x14ac:dyDescent="0.2">
      <c r="A32" s="10">
        <v>30</v>
      </c>
      <c r="B32" s="10">
        <f>'Picks importieren'!B33</f>
        <v>112.5</v>
      </c>
      <c r="C32" s="95"/>
      <c r="D32" s="95">
        <f>T0_Korrektur!D32*ABS(T0_Korrektur!B32-T0_Korrektur!C$1)/T0_Korrektur!C32</f>
        <v>29.620850184738174</v>
      </c>
      <c r="E32" s="96">
        <f>T0_Korrektur!F32*ABS(T0_Korrektur!B32-T0_Korrektur!E$1)/T0_Korrektur!E32</f>
        <v>66.360821195159502</v>
      </c>
      <c r="F32" s="97">
        <f>T0_Korrektur!H32*ABS(T0_Korrektur!B32-T0_Korrektur!G$1)/T0_Korrektur!G32</f>
        <v>76.584819296079033</v>
      </c>
      <c r="G32" s="13">
        <f t="shared" si="0"/>
        <v>65.247866300007104</v>
      </c>
      <c r="H32" s="11">
        <f t="shared" si="2"/>
        <v>34.555781800822388</v>
      </c>
      <c r="I32" s="76">
        <f t="shared" si="3"/>
        <v>104.72153487823181</v>
      </c>
      <c r="J32" s="78">
        <f t="shared" si="4"/>
        <v>41.741074507666781</v>
      </c>
      <c r="K32" s="99">
        <f>IF(T0_Korrektur!I32=-999,-999,T0_Korrektur!J32*ABS(T0_Korrektur!B32-T0_Korrektur!I$1)/T0_Korrektur!I32)</f>
        <v>-999</v>
      </c>
      <c r="L32" s="74">
        <f>IF(T0_Korrektur!K32=-999,-999,T0_Korrektur!L32*ABS(T0_Korrektur!B32-T0_Korrektur!K$1)/T0_Korrektur!K32)</f>
        <v>-999</v>
      </c>
      <c r="M32" s="11">
        <f t="shared" si="1"/>
        <v>0</v>
      </c>
      <c r="N32" s="76">
        <f t="shared" si="5"/>
        <v>0</v>
      </c>
      <c r="O32" s="78" t="e">
        <f t="shared" si="6"/>
        <v>#DIV/0!</v>
      </c>
      <c r="P32" s="72">
        <f>IF(T0_Korrektur!M32=-999,-999,T0_Korrektur!N32*ABS(T0_Korrektur!B32-T0_Korrektur!M$1)/T0_Korrektur!M32)</f>
        <v>-999</v>
      </c>
      <c r="Q32" s="91">
        <f>IF(T0_Korrektur!O32=-999,-999,T0_Korrektur!P32*ABS(T0_Korrektur!B32-T0_Korrektur!O$1)/T0_Korrektur!O32)</f>
        <v>-999</v>
      </c>
      <c r="R32" s="11">
        <f t="shared" si="7"/>
        <v>0</v>
      </c>
      <c r="S32" s="76">
        <f t="shared" si="8"/>
        <v>0</v>
      </c>
      <c r="T32" s="78" t="e">
        <f t="shared" si="9"/>
        <v>#DIV/0!</v>
      </c>
      <c r="U32" s="3"/>
    </row>
    <row r="33" spans="1:21" x14ac:dyDescent="0.2">
      <c r="A33" s="10">
        <v>31</v>
      </c>
      <c r="B33" s="10">
        <f>'Picks importieren'!B34</f>
        <v>117.5</v>
      </c>
      <c r="C33" s="95"/>
      <c r="D33" s="95">
        <f>T0_Korrektur!D33*ABS(T0_Korrektur!B33-T0_Korrektur!C$1)/T0_Korrektur!C33</f>
        <v>33.151683807443028</v>
      </c>
      <c r="E33" s="96">
        <f>T0_Korrektur!F33*ABS(T0_Korrektur!B33-T0_Korrektur!E$1)/T0_Korrektur!E33</f>
        <v>63.906682212066485</v>
      </c>
      <c r="F33" s="97">
        <f>T0_Korrektur!H33*ABS(T0_Korrektur!B33-T0_Korrektur!G$1)/T0_Korrektur!G33</f>
        <v>77.8119466483504</v>
      </c>
      <c r="G33" s="13">
        <f t="shared" si="0"/>
        <v>62.793727316914072</v>
      </c>
      <c r="H33" s="11">
        <f t="shared" si="2"/>
        <v>37.009920783915419</v>
      </c>
      <c r="I33" s="76">
        <f t="shared" si="3"/>
        <v>108.40280121359619</v>
      </c>
      <c r="J33" s="78">
        <f t="shared" si="4"/>
        <v>40.514062876845145</v>
      </c>
      <c r="K33" s="99">
        <f>IF(T0_Korrektur!I33=-999,-999,T0_Korrektur!J33*ABS(T0_Korrektur!B33-T0_Korrektur!I$1)/T0_Korrektur!I33)</f>
        <v>-999</v>
      </c>
      <c r="L33" s="74">
        <f>IF(T0_Korrektur!K33=-999,-999,T0_Korrektur!L33*ABS(T0_Korrektur!B33-T0_Korrektur!K$1)/T0_Korrektur!K33)</f>
        <v>-999</v>
      </c>
      <c r="M33" s="11">
        <f t="shared" si="1"/>
        <v>0</v>
      </c>
      <c r="N33" s="76">
        <f t="shared" si="5"/>
        <v>0</v>
      </c>
      <c r="O33" s="78" t="e">
        <f t="shared" si="6"/>
        <v>#DIV/0!</v>
      </c>
      <c r="P33" s="72">
        <f>IF(T0_Korrektur!M33=-999,-999,T0_Korrektur!N33*ABS(T0_Korrektur!B33-T0_Korrektur!M$1)/T0_Korrektur!M33)</f>
        <v>-999</v>
      </c>
      <c r="Q33" s="91">
        <f>IF(T0_Korrektur!O33=-999,-999,T0_Korrektur!P33*ABS(T0_Korrektur!B33-T0_Korrektur!O$1)/T0_Korrektur!O33)</f>
        <v>-999</v>
      </c>
      <c r="R33" s="11">
        <f t="shared" si="7"/>
        <v>0</v>
      </c>
      <c r="S33" s="76">
        <f t="shared" si="8"/>
        <v>0</v>
      </c>
      <c r="T33" s="78" t="e">
        <f t="shared" si="9"/>
        <v>#DIV/0!</v>
      </c>
      <c r="U33" s="3"/>
    </row>
    <row r="34" spans="1:21" x14ac:dyDescent="0.2">
      <c r="A34" s="10">
        <v>32</v>
      </c>
      <c r="B34" s="10">
        <f>'Picks importieren'!B35</f>
        <v>122.5</v>
      </c>
      <c r="C34" s="95"/>
      <c r="D34" s="95">
        <f>T0_Korrektur!D34*ABS(T0_Korrektur!B34-T0_Korrektur!C$1)/T0_Korrektur!C34</f>
        <v>36.375698080079296</v>
      </c>
      <c r="E34" s="96">
        <f>T0_Korrektur!F34*ABS(T0_Korrektur!B34-T0_Korrektur!E$1)/T0_Korrektur!E34</f>
        <v>61.656687214721167</v>
      </c>
      <c r="F34" s="97">
        <f>T0_Korrektur!H34*ABS(T0_Korrektur!B34-T0_Korrektur!G$1)/T0_Korrektur!G34</f>
        <v>80.060999705815448</v>
      </c>
      <c r="G34" s="13">
        <f t="shared" si="0"/>
        <v>60.543732319568761</v>
      </c>
      <c r="H34" s="11">
        <f t="shared" si="2"/>
        <v>39.25991578126073</v>
      </c>
      <c r="I34" s="76">
        <f t="shared" si="3"/>
        <v>112.90184926840656</v>
      </c>
      <c r="J34" s="78">
        <f t="shared" si="4"/>
        <v>40.513120936964867</v>
      </c>
      <c r="K34" s="99">
        <f>IF(T0_Korrektur!I34=-999,-999,T0_Korrektur!J34*ABS(T0_Korrektur!B34-T0_Korrektur!I$1)/T0_Korrektur!I34)</f>
        <v>-999</v>
      </c>
      <c r="L34" s="74">
        <f>IF(T0_Korrektur!K34=-999,-999,T0_Korrektur!L34*ABS(T0_Korrektur!B34-T0_Korrektur!K$1)/T0_Korrektur!K34)</f>
        <v>-999</v>
      </c>
      <c r="M34" s="11">
        <f t="shared" si="1"/>
        <v>0</v>
      </c>
      <c r="N34" s="76">
        <f t="shared" si="5"/>
        <v>0</v>
      </c>
      <c r="O34" s="78" t="e">
        <f t="shared" si="6"/>
        <v>#DIV/0!</v>
      </c>
      <c r="P34" s="72">
        <f>IF(T0_Korrektur!M34=-999,-999,T0_Korrektur!N34*ABS(T0_Korrektur!B34-T0_Korrektur!M$1)/T0_Korrektur!M34)</f>
        <v>-999</v>
      </c>
      <c r="Q34" s="91">
        <f>IF(T0_Korrektur!O34=-999,-999,T0_Korrektur!P34*ABS(T0_Korrektur!B34-T0_Korrektur!O$1)/T0_Korrektur!O34)</f>
        <v>-999</v>
      </c>
      <c r="R34" s="11">
        <f t="shared" si="7"/>
        <v>0</v>
      </c>
      <c r="S34" s="76">
        <f t="shared" si="8"/>
        <v>0</v>
      </c>
      <c r="T34" s="78" t="e">
        <f t="shared" si="9"/>
        <v>#DIV/0!</v>
      </c>
      <c r="U34" s="3"/>
    </row>
    <row r="35" spans="1:21" x14ac:dyDescent="0.2">
      <c r="A35" s="10">
        <v>33</v>
      </c>
      <c r="B35" s="10">
        <f>'Picks importieren'!B36</f>
        <v>127.5</v>
      </c>
      <c r="C35" s="95"/>
      <c r="D35" s="95">
        <f>T0_Korrektur!D35*ABS(T0_Korrektur!B35-T0_Korrektur!C$1)/T0_Korrektur!C35</f>
        <v>38.928740474674221</v>
      </c>
      <c r="E35" s="96">
        <f>T0_Korrektur!F35*ABS(T0_Korrektur!B35-T0_Korrektur!E$1)/T0_Korrektur!E35</f>
        <v>58.588942756527494</v>
      </c>
      <c r="F35" s="97">
        <f>T0_Korrektur!H35*ABS(T0_Korrektur!B35-T0_Korrektur!G$1)/T0_Korrektur!G35</f>
        <v>81.492388677941392</v>
      </c>
      <c r="G35" s="13">
        <f t="shared" si="0"/>
        <v>57.475987861375103</v>
      </c>
      <c r="H35" s="11">
        <f t="shared" si="2"/>
        <v>42.327660239454389</v>
      </c>
      <c r="I35" s="76">
        <f t="shared" si="3"/>
        <v>117.40098269872617</v>
      </c>
      <c r="J35" s="78">
        <f t="shared" si="4"/>
        <v>38.876765450897153</v>
      </c>
      <c r="K35" s="99">
        <f>IF(T0_Korrektur!I35=-999,-999,T0_Korrektur!J35*ABS(T0_Korrektur!B35-T0_Korrektur!I$1)/T0_Korrektur!I35)</f>
        <v>-999</v>
      </c>
      <c r="L35" s="74">
        <f>IF(T0_Korrektur!K35=-999,-999,T0_Korrektur!L35*ABS(T0_Korrektur!B35-T0_Korrektur!K$1)/T0_Korrektur!K35)</f>
        <v>-999</v>
      </c>
      <c r="M35" s="11">
        <f t="shared" si="1"/>
        <v>0</v>
      </c>
      <c r="N35" s="76">
        <f t="shared" si="5"/>
        <v>0</v>
      </c>
      <c r="O35" s="78" t="e">
        <f t="shared" si="6"/>
        <v>#DIV/0!</v>
      </c>
      <c r="P35" s="72">
        <f>IF(T0_Korrektur!M35=-999,-999,T0_Korrektur!N35*ABS(T0_Korrektur!B35-T0_Korrektur!M$1)/T0_Korrektur!M35)</f>
        <v>-999</v>
      </c>
      <c r="Q35" s="91">
        <f>IF(T0_Korrektur!O35=-999,-999,T0_Korrektur!P35*ABS(T0_Korrektur!B35-T0_Korrektur!O$1)/T0_Korrektur!O35)</f>
        <v>-999</v>
      </c>
      <c r="R35" s="11">
        <f t="shared" si="7"/>
        <v>0</v>
      </c>
      <c r="S35" s="76">
        <f t="shared" si="8"/>
        <v>0</v>
      </c>
      <c r="T35" s="78" t="e">
        <f t="shared" si="9"/>
        <v>#DIV/0!</v>
      </c>
      <c r="U35" s="3"/>
    </row>
    <row r="36" spans="1:21" x14ac:dyDescent="0.2">
      <c r="A36" s="10">
        <v>34</v>
      </c>
      <c r="B36" s="10">
        <f>'Picks importieren'!B37</f>
        <v>132.5</v>
      </c>
      <c r="C36" s="95"/>
      <c r="D36" s="95">
        <f>T0_Korrektur!D36*ABS(T0_Korrektur!B36-T0_Korrektur!C$1)/T0_Korrektur!C36</f>
        <v>40.912535514049708</v>
      </c>
      <c r="E36" s="96">
        <f>T0_Korrektur!F36*ABS(T0_Korrektur!B36-T0_Korrektur!E$1)/T0_Korrektur!E36</f>
        <v>55.520709953531515</v>
      </c>
      <c r="F36" s="97">
        <f>T0_Korrektur!H36*ABS(T0_Korrektur!B36-T0_Korrektur!G$1)/T0_Korrektur!G36</f>
        <v>83.332592987587006</v>
      </c>
      <c r="G36" s="13">
        <f t="shared" si="0"/>
        <v>54.407755058379109</v>
      </c>
      <c r="H36" s="11">
        <f t="shared" si="2"/>
        <v>45.395893042450382</v>
      </c>
      <c r="I36" s="76">
        <f t="shared" si="3"/>
        <v>122.30941981136776</v>
      </c>
      <c r="J36" s="78">
        <f t="shared" si="4"/>
        <v>37.648736957546788</v>
      </c>
      <c r="K36" s="99">
        <f>IF(T0_Korrektur!I36=-999,-999,T0_Korrektur!J36*ABS(T0_Korrektur!B36-T0_Korrektur!I$1)/T0_Korrektur!I36)</f>
        <v>-999</v>
      </c>
      <c r="L36" s="74">
        <f>IF(T0_Korrektur!K36=-999,-999,T0_Korrektur!L36*ABS(T0_Korrektur!B36-T0_Korrektur!K$1)/T0_Korrektur!K36)</f>
        <v>-999</v>
      </c>
      <c r="M36" s="11">
        <f t="shared" si="1"/>
        <v>0</v>
      </c>
      <c r="N36" s="76">
        <f t="shared" si="5"/>
        <v>0</v>
      </c>
      <c r="O36" s="78" t="e">
        <f t="shared" si="6"/>
        <v>#DIV/0!</v>
      </c>
      <c r="P36" s="72">
        <f>IF(T0_Korrektur!M36=-999,-999,T0_Korrektur!N36*ABS(T0_Korrektur!B36-T0_Korrektur!M$1)/T0_Korrektur!M36)</f>
        <v>-999</v>
      </c>
      <c r="Q36" s="91">
        <f>IF(T0_Korrektur!O36=-999,-999,T0_Korrektur!P36*ABS(T0_Korrektur!B36-T0_Korrektur!O$1)/T0_Korrektur!O36)</f>
        <v>-999</v>
      </c>
      <c r="R36" s="11">
        <f t="shared" si="7"/>
        <v>0</v>
      </c>
      <c r="S36" s="76">
        <f t="shared" si="8"/>
        <v>0</v>
      </c>
      <c r="T36" s="78" t="e">
        <f t="shared" si="9"/>
        <v>#DIV/0!</v>
      </c>
      <c r="U36" s="3"/>
    </row>
    <row r="37" spans="1:21" x14ac:dyDescent="0.2">
      <c r="A37" s="10">
        <v>35</v>
      </c>
      <c r="B37" s="10">
        <f>'Picks importieren'!B38</f>
        <v>137.5</v>
      </c>
      <c r="C37" s="95"/>
      <c r="D37" s="95">
        <f>T0_Korrektur!D37*ABS(T0_Korrektur!B37-T0_Korrektur!C$1)/T0_Korrektur!C37</f>
        <v>43.548833172902349</v>
      </c>
      <c r="E37" s="96">
        <f>T0_Korrektur!F37*ABS(T0_Korrektur!B37-T0_Korrektur!E$1)/T0_Korrektur!E37</f>
        <v>53.269880792839103</v>
      </c>
      <c r="F37" s="97">
        <f>T0_Korrektur!H37*ABS(T0_Korrektur!B37-T0_Korrektur!G$1)/T0_Korrektur!G37</f>
        <v>85.17266050978192</v>
      </c>
      <c r="G37" s="13">
        <f t="shared" si="0"/>
        <v>52.156925897686705</v>
      </c>
      <c r="H37" s="11">
        <f t="shared" si="2"/>
        <v>47.646722203142787</v>
      </c>
      <c r="I37" s="76">
        <f t="shared" si="3"/>
        <v>126.40031649425511</v>
      </c>
      <c r="J37" s="78">
        <f t="shared" si="4"/>
        <v>37.237975319049269</v>
      </c>
      <c r="K37" s="99">
        <f>IF(T0_Korrektur!I37=-999,-999,T0_Korrektur!J37*ABS(T0_Korrektur!B37-T0_Korrektur!I$1)/T0_Korrektur!I37)</f>
        <v>-999</v>
      </c>
      <c r="L37" s="74">
        <f>IF(T0_Korrektur!K37=-999,-999,T0_Korrektur!L37*ABS(T0_Korrektur!B37-T0_Korrektur!K$1)/T0_Korrektur!K37)</f>
        <v>-999</v>
      </c>
      <c r="M37" s="11">
        <f t="shared" si="1"/>
        <v>0</v>
      </c>
      <c r="N37" s="76">
        <f t="shared" si="5"/>
        <v>0</v>
      </c>
      <c r="O37" s="78" t="e">
        <f t="shared" si="6"/>
        <v>#DIV/0!</v>
      </c>
      <c r="P37" s="72">
        <f>IF(T0_Korrektur!M37=-999,-999,T0_Korrektur!N37*ABS(T0_Korrektur!B37-T0_Korrektur!M$1)/T0_Korrektur!M37)</f>
        <v>-999</v>
      </c>
      <c r="Q37" s="91">
        <f>IF(T0_Korrektur!O37=-999,-999,T0_Korrektur!P37*ABS(T0_Korrektur!B37-T0_Korrektur!O$1)/T0_Korrektur!O37)</f>
        <v>-999</v>
      </c>
      <c r="R37" s="11">
        <f t="shared" si="7"/>
        <v>0</v>
      </c>
      <c r="S37" s="76">
        <f t="shared" si="8"/>
        <v>0</v>
      </c>
      <c r="T37" s="78" t="e">
        <f t="shared" si="9"/>
        <v>#DIV/0!</v>
      </c>
      <c r="U37" s="3"/>
    </row>
    <row r="38" spans="1:21" x14ac:dyDescent="0.2">
      <c r="A38" s="10">
        <v>36</v>
      </c>
      <c r="B38" s="10">
        <f>'Picks importieren'!B39</f>
        <v>142.5</v>
      </c>
      <c r="C38" s="95"/>
      <c r="D38" s="95">
        <f>T0_Korrektur!D38*ABS(T0_Korrektur!B38-T0_Korrektur!C$1)/T0_Korrektur!C38</f>
        <v>46.089075974748049</v>
      </c>
      <c r="E38" s="96">
        <f>T0_Korrektur!F38*ABS(T0_Korrektur!B38-T0_Korrektur!E$1)/T0_Korrektur!E38</f>
        <v>50.405297258516981</v>
      </c>
      <c r="F38" s="97">
        <f>T0_Korrektur!H38*ABS(T0_Korrektur!B38-T0_Korrektur!G$1)/T0_Korrektur!G38</f>
        <v>87.625948581771013</v>
      </c>
      <c r="G38" s="13">
        <f t="shared" si="0"/>
        <v>49.292342363364583</v>
      </c>
      <c r="H38" s="11">
        <f t="shared" si="2"/>
        <v>50.511305737464909</v>
      </c>
      <c r="I38" s="76">
        <f t="shared" si="3"/>
        <v>131.71818810056629</v>
      </c>
      <c r="J38" s="78">
        <f t="shared" si="4"/>
        <v>36.826679856716254</v>
      </c>
      <c r="K38" s="99">
        <f>IF(T0_Korrektur!I38=-999,-999,T0_Korrektur!J38*ABS(T0_Korrektur!B38-T0_Korrektur!I$1)/T0_Korrektur!I38)</f>
        <v>-999</v>
      </c>
      <c r="L38" s="74">
        <f>IF(T0_Korrektur!K38=-999,-999,T0_Korrektur!L38*ABS(T0_Korrektur!B38-T0_Korrektur!K$1)/T0_Korrektur!K38)</f>
        <v>-999</v>
      </c>
      <c r="M38" s="11">
        <f t="shared" si="1"/>
        <v>0</v>
      </c>
      <c r="N38" s="76">
        <f t="shared" si="5"/>
        <v>0</v>
      </c>
      <c r="O38" s="78" t="e">
        <f t="shared" si="6"/>
        <v>#DIV/0!</v>
      </c>
      <c r="P38" s="72">
        <f>IF(T0_Korrektur!M38=-999,-999,T0_Korrektur!N38*ABS(T0_Korrektur!B38-T0_Korrektur!M$1)/T0_Korrektur!M38)</f>
        <v>-999</v>
      </c>
      <c r="Q38" s="91">
        <f>IF(T0_Korrektur!O38=-999,-999,T0_Korrektur!P38*ABS(T0_Korrektur!B38-T0_Korrektur!O$1)/T0_Korrektur!O38)</f>
        <v>-999</v>
      </c>
      <c r="R38" s="11">
        <f t="shared" si="7"/>
        <v>0</v>
      </c>
      <c r="S38" s="76">
        <f t="shared" si="8"/>
        <v>0</v>
      </c>
      <c r="T38" s="78" t="e">
        <f t="shared" si="9"/>
        <v>#DIV/0!</v>
      </c>
      <c r="U38" s="3"/>
    </row>
    <row r="39" spans="1:21" x14ac:dyDescent="0.2">
      <c r="A39" s="10">
        <v>37</v>
      </c>
      <c r="B39" s="10">
        <f>'Picks importieren'!B40</f>
        <v>147.5</v>
      </c>
      <c r="C39" s="95"/>
      <c r="D39" s="95">
        <f>T0_Korrektur!D39*ABS(T0_Korrektur!B39-T0_Korrektur!C$1)/T0_Korrektur!C39</f>
        <v>48.153615633115365</v>
      </c>
      <c r="E39" s="96">
        <f>T0_Korrektur!F39*ABS(T0_Korrektur!B39-T0_Korrektur!E$1)/T0_Korrektur!E39</f>
        <v>47.131269397410328</v>
      </c>
      <c r="F39" s="97">
        <f>T0_Korrektur!H39*ABS(T0_Korrektur!B39-T0_Korrektur!G$1)/T0_Korrektur!G39</f>
        <v>88.239646974118543</v>
      </c>
      <c r="G39" s="13">
        <f t="shared" si="0"/>
        <v>46.018314502257937</v>
      </c>
      <c r="H39" s="11">
        <f t="shared" si="2"/>
        <v>53.785333598571555</v>
      </c>
      <c r="I39" s="76">
        <f t="shared" si="3"/>
        <v>135.60591435402048</v>
      </c>
      <c r="J39" s="78">
        <f t="shared" si="4"/>
        <v>34.166350387957124</v>
      </c>
      <c r="K39" s="99">
        <f>IF(T0_Korrektur!I39=-999,-999,T0_Korrektur!J39*ABS(T0_Korrektur!B39-T0_Korrektur!I$1)/T0_Korrektur!I39)</f>
        <v>-999</v>
      </c>
      <c r="L39" s="74">
        <f>IF(T0_Korrektur!K39=-999,-999,T0_Korrektur!L39*ABS(T0_Korrektur!B39-T0_Korrektur!K$1)/T0_Korrektur!K39)</f>
        <v>-999</v>
      </c>
      <c r="M39" s="11">
        <f t="shared" si="1"/>
        <v>0</v>
      </c>
      <c r="N39" s="76">
        <f t="shared" si="5"/>
        <v>0</v>
      </c>
      <c r="O39" s="78" t="e">
        <f t="shared" si="6"/>
        <v>#DIV/0!</v>
      </c>
      <c r="P39" s="72">
        <f>IF(T0_Korrektur!M39=-999,-999,T0_Korrektur!N39*ABS(T0_Korrektur!B39-T0_Korrektur!M$1)/T0_Korrektur!M39)</f>
        <v>-999</v>
      </c>
      <c r="Q39" s="91">
        <f>IF(T0_Korrektur!O39=-999,-999,T0_Korrektur!P39*ABS(T0_Korrektur!B39-T0_Korrektur!O$1)/T0_Korrektur!O39)</f>
        <v>-999</v>
      </c>
      <c r="R39" s="11">
        <f t="shared" si="7"/>
        <v>0</v>
      </c>
      <c r="S39" s="76">
        <f t="shared" si="8"/>
        <v>0</v>
      </c>
      <c r="T39" s="78" t="e">
        <f t="shared" si="9"/>
        <v>#DIV/0!</v>
      </c>
      <c r="U39" s="3"/>
    </row>
    <row r="40" spans="1:21" x14ac:dyDescent="0.2">
      <c r="A40" s="10">
        <v>38</v>
      </c>
      <c r="B40" s="10">
        <f>'Picks importieren'!B41</f>
        <v>152.5</v>
      </c>
      <c r="C40" s="95"/>
      <c r="D40" s="95">
        <f>T0_Korrektur!D40*ABS(T0_Korrektur!B40-T0_Korrektur!C$1)/T0_Korrektur!C40</f>
        <v>50.814198891165219</v>
      </c>
      <c r="E40" s="96">
        <f>T0_Korrektur!F40*ABS(T0_Korrektur!B40-T0_Korrektur!E$1)/T0_Korrektur!E40</f>
        <v>44.0600878512126</v>
      </c>
      <c r="F40" s="97">
        <f>T0_Korrektur!H40*ABS(T0_Korrektur!B40-T0_Korrektur!G$1)/T0_Korrektur!G40</f>
        <v>89.686852640870654</v>
      </c>
      <c r="G40" s="13">
        <f t="shared" si="0"/>
        <v>42.947132956060187</v>
      </c>
      <c r="H40" s="11">
        <f t="shared" si="2"/>
        <v>56.856515144769304</v>
      </c>
      <c r="I40" s="76">
        <f t="shared" si="3"/>
        <v>140.1243015669703</v>
      </c>
      <c r="J40" s="78">
        <f t="shared" si="4"/>
        <v>32.5423745085115</v>
      </c>
      <c r="K40" s="99">
        <f>IF(T0_Korrektur!I40=-999,-999,T0_Korrektur!J40*ABS(T0_Korrektur!B40-T0_Korrektur!I$1)/T0_Korrektur!I40)</f>
        <v>-999</v>
      </c>
      <c r="L40" s="74">
        <f>IF(T0_Korrektur!K40=-999,-999,T0_Korrektur!L40*ABS(T0_Korrektur!B40-T0_Korrektur!K$1)/T0_Korrektur!K40)</f>
        <v>-999</v>
      </c>
      <c r="M40" s="11">
        <f t="shared" si="1"/>
        <v>0</v>
      </c>
      <c r="N40" s="76">
        <f t="shared" si="5"/>
        <v>0</v>
      </c>
      <c r="O40" s="78" t="e">
        <f t="shared" si="6"/>
        <v>#DIV/0!</v>
      </c>
      <c r="P40" s="72">
        <f>IF(T0_Korrektur!M40=-999,-999,T0_Korrektur!N40*ABS(T0_Korrektur!B40-T0_Korrektur!M$1)/T0_Korrektur!M40)</f>
        <v>-999</v>
      </c>
      <c r="Q40" s="91">
        <f>IF(T0_Korrektur!O40=-999,-999,T0_Korrektur!P40*ABS(T0_Korrektur!B40-T0_Korrektur!O$1)/T0_Korrektur!O40)</f>
        <v>-999</v>
      </c>
      <c r="R40" s="11">
        <f t="shared" si="7"/>
        <v>0</v>
      </c>
      <c r="S40" s="76">
        <f t="shared" si="8"/>
        <v>0</v>
      </c>
      <c r="T40" s="78" t="e">
        <f t="shared" si="9"/>
        <v>#DIV/0!</v>
      </c>
      <c r="U40" s="3"/>
    </row>
    <row r="41" spans="1:21" x14ac:dyDescent="0.2">
      <c r="A41" s="10">
        <v>39</v>
      </c>
      <c r="B41" s="10">
        <f>'Picks importieren'!B42</f>
        <v>157.5</v>
      </c>
      <c r="C41" s="95"/>
      <c r="D41" s="95">
        <f>T0_Korrektur!D41*ABS(T0_Korrektur!B41-T0_Korrektur!C$1)/T0_Korrektur!C41</f>
        <v>53.474407075664928</v>
      </c>
      <c r="E41" s="96">
        <f>T0_Korrektur!F41*ABS(T0_Korrektur!B41-T0_Korrektur!E$1)/T0_Korrektur!E41</f>
        <v>41.396636994141218</v>
      </c>
      <c r="F41" s="97">
        <f>T0_Korrektur!H41*ABS(T0_Korrektur!B41-T0_Korrektur!G$1)/T0_Korrektur!G41</f>
        <v>91.351619338236702</v>
      </c>
      <c r="G41" s="13">
        <f t="shared" si="0"/>
        <v>40.283682098988805</v>
      </c>
      <c r="H41" s="11">
        <f t="shared" si="2"/>
        <v>59.519966001840686</v>
      </c>
      <c r="I41" s="76">
        <f t="shared" si="3"/>
        <v>144.45251912140776</v>
      </c>
      <c r="J41" s="78">
        <f t="shared" si="4"/>
        <v>31.543690348806194</v>
      </c>
      <c r="K41" s="99">
        <f>IF(T0_Korrektur!I41=-999,-999,T0_Korrektur!J41*ABS(T0_Korrektur!B41-T0_Korrektur!I$1)/T0_Korrektur!I41)</f>
        <v>-999</v>
      </c>
      <c r="L41" s="74">
        <f>IF(T0_Korrektur!K41=-999,-999,T0_Korrektur!L41*ABS(T0_Korrektur!B41-T0_Korrektur!K$1)/T0_Korrektur!K41)</f>
        <v>-999</v>
      </c>
      <c r="M41" s="11">
        <f t="shared" si="1"/>
        <v>0</v>
      </c>
      <c r="N41" s="76">
        <f t="shared" si="5"/>
        <v>0</v>
      </c>
      <c r="O41" s="78" t="e">
        <f t="shared" si="6"/>
        <v>#DIV/0!</v>
      </c>
      <c r="P41" s="72">
        <f>IF(T0_Korrektur!M41=-999,-999,T0_Korrektur!N41*ABS(T0_Korrektur!B41-T0_Korrektur!M$1)/T0_Korrektur!M41)</f>
        <v>-999</v>
      </c>
      <c r="Q41" s="91">
        <f>IF(T0_Korrektur!O41=-999,-999,T0_Korrektur!P41*ABS(T0_Korrektur!B41-T0_Korrektur!O$1)/T0_Korrektur!O41)</f>
        <v>-999</v>
      </c>
      <c r="R41" s="11">
        <f t="shared" si="7"/>
        <v>0</v>
      </c>
      <c r="S41" s="76">
        <f t="shared" si="8"/>
        <v>0</v>
      </c>
      <c r="T41" s="78" t="e">
        <f t="shared" si="9"/>
        <v>#DIV/0!</v>
      </c>
      <c r="U41" s="3"/>
    </row>
    <row r="42" spans="1:21" x14ac:dyDescent="0.2">
      <c r="A42" s="10">
        <v>40</v>
      </c>
      <c r="B42" s="10">
        <f>'Picks importieren'!B43</f>
        <v>162.5</v>
      </c>
      <c r="C42" s="95"/>
      <c r="D42" s="95">
        <f>T0_Korrektur!D42*ABS(T0_Korrektur!B42-T0_Korrektur!C$1)/T0_Korrektur!C42</f>
        <v>56.427025729417863</v>
      </c>
      <c r="E42" s="96">
        <f>T0_Korrektur!F42*ABS(T0_Korrektur!B42-T0_Korrektur!E$1)/T0_Korrektur!E42</f>
        <v>38.321588688040748</v>
      </c>
      <c r="F42" s="97">
        <f>T0_Korrektur!H42*ABS(T0_Korrektur!B42-T0_Korrektur!G$1)/T0_Korrektur!G42</f>
        <v>92.124418379511695</v>
      </c>
      <c r="G42" s="13">
        <f t="shared" si="0"/>
        <v>37.208633792888349</v>
      </c>
      <c r="H42" s="11">
        <f t="shared" si="2"/>
        <v>62.595014307941142</v>
      </c>
      <c r="I42" s="76">
        <f t="shared" si="3"/>
        <v>148.30036646878321</v>
      </c>
      <c r="J42" s="78">
        <f t="shared" si="4"/>
        <v>29.241441083980703</v>
      </c>
      <c r="K42" s="99">
        <f>IF(T0_Korrektur!I42=-999,-999,T0_Korrektur!J42*ABS(T0_Korrektur!B42-T0_Korrektur!I$1)/T0_Korrektur!I42)</f>
        <v>-999</v>
      </c>
      <c r="L42" s="74">
        <f>IF(T0_Korrektur!K42=-999,-999,T0_Korrektur!L42*ABS(T0_Korrektur!B42-T0_Korrektur!K$1)/T0_Korrektur!K42)</f>
        <v>-999</v>
      </c>
      <c r="M42" s="11">
        <f t="shared" si="1"/>
        <v>0</v>
      </c>
      <c r="N42" s="76">
        <f t="shared" si="5"/>
        <v>0</v>
      </c>
      <c r="O42" s="78" t="e">
        <f t="shared" si="6"/>
        <v>#DIV/0!</v>
      </c>
      <c r="P42" s="72">
        <f>IF(T0_Korrektur!M42=-999,-999,T0_Korrektur!N42*ABS(T0_Korrektur!B42-T0_Korrektur!M$1)/T0_Korrektur!M42)</f>
        <v>-999</v>
      </c>
      <c r="Q42" s="91">
        <f>IF(T0_Korrektur!O42=-999,-999,T0_Korrektur!P42*ABS(T0_Korrektur!B42-T0_Korrektur!O$1)/T0_Korrektur!O42)</f>
        <v>-999</v>
      </c>
      <c r="R42" s="11">
        <f t="shared" si="7"/>
        <v>0</v>
      </c>
      <c r="S42" s="76">
        <f t="shared" si="8"/>
        <v>0</v>
      </c>
      <c r="T42" s="78" t="e">
        <f t="shared" si="9"/>
        <v>#DIV/0!</v>
      </c>
      <c r="U42" s="3"/>
    </row>
    <row r="43" spans="1:21" x14ac:dyDescent="0.2">
      <c r="A43" s="10">
        <v>41</v>
      </c>
      <c r="B43" s="10">
        <f>'Picks importieren'!B44</f>
        <v>167.5</v>
      </c>
      <c r="C43" s="95"/>
      <c r="D43" s="95">
        <f>T0_Korrektur!D43*ABS(T0_Korrektur!B43-T0_Korrektur!C$1)/T0_Korrektur!C43</f>
        <v>60.183171813374464</v>
      </c>
      <c r="E43" s="96">
        <f>T0_Korrektur!F43*ABS(T0_Korrektur!B43-T0_Korrektur!E$1)/T0_Korrektur!E43</f>
        <v>36.058420450595584</v>
      </c>
      <c r="F43" s="97">
        <f>T0_Korrektur!H43*ABS(T0_Korrektur!B43-T0_Korrektur!G$1)/T0_Korrektur!G43</f>
        <v>93.419363490401366</v>
      </c>
      <c r="G43" s="13">
        <f t="shared" si="0"/>
        <v>34.945465555443178</v>
      </c>
      <c r="H43" s="11">
        <f t="shared" si="2"/>
        <v>64.858182545386313</v>
      </c>
      <c r="I43" s="76">
        <f t="shared" si="3"/>
        <v>151.85847981711805</v>
      </c>
      <c r="J43" s="78">
        <f t="shared" si="4"/>
        <v>28.273217957425203</v>
      </c>
      <c r="K43" s="99">
        <f>IF(T0_Korrektur!I43=-999,-999,T0_Korrektur!J43*ABS(T0_Korrektur!B43-T0_Korrektur!I$1)/T0_Korrektur!I43)</f>
        <v>-999</v>
      </c>
      <c r="L43" s="74">
        <f>IF(T0_Korrektur!K43=-999,-999,T0_Korrektur!L43*ABS(T0_Korrektur!B43-T0_Korrektur!K$1)/T0_Korrektur!K43)</f>
        <v>-999</v>
      </c>
      <c r="M43" s="11">
        <f t="shared" si="1"/>
        <v>0</v>
      </c>
      <c r="N43" s="76">
        <f t="shared" si="5"/>
        <v>0</v>
      </c>
      <c r="O43" s="78" t="e">
        <f t="shared" si="6"/>
        <v>#DIV/0!</v>
      </c>
      <c r="P43" s="72">
        <f>IF(T0_Korrektur!M43=-999,-999,T0_Korrektur!N43*ABS(T0_Korrektur!B43-T0_Korrektur!M$1)/T0_Korrektur!M43)</f>
        <v>-999</v>
      </c>
      <c r="Q43" s="91">
        <f>IF(T0_Korrektur!O43=-999,-999,T0_Korrektur!P43*ABS(T0_Korrektur!B43-T0_Korrektur!O$1)/T0_Korrektur!O43)</f>
        <v>-999</v>
      </c>
      <c r="R43" s="11">
        <f t="shared" si="7"/>
        <v>0</v>
      </c>
      <c r="S43" s="76">
        <f t="shared" si="8"/>
        <v>0</v>
      </c>
      <c r="T43" s="78" t="e">
        <f t="shared" si="9"/>
        <v>#DIV/0!</v>
      </c>
      <c r="U43" s="3"/>
    </row>
    <row r="44" spans="1:21" x14ac:dyDescent="0.2">
      <c r="A44" s="10">
        <v>42</v>
      </c>
      <c r="B44" s="10">
        <f>'Picks importieren'!B45</f>
        <v>172.5</v>
      </c>
      <c r="C44" s="95"/>
      <c r="D44" s="95">
        <f>T0_Korrektur!D44*ABS(T0_Korrektur!B44-T0_Korrektur!C$1)/T0_Korrektur!C44</f>
        <v>62.71911402026759</v>
      </c>
      <c r="E44" s="96">
        <f>T0_Korrektur!F44*ABS(T0_Korrektur!B44-T0_Korrektur!E$1)/T0_Korrektur!E44</f>
        <v>33.785484666836894</v>
      </c>
      <c r="F44" s="97">
        <f>T0_Korrektur!H44*ABS(T0_Korrektur!B44-T0_Korrektur!G$1)/T0_Korrektur!G44</f>
        <v>94.169218772253927</v>
      </c>
      <c r="G44" s="13">
        <f t="shared" si="0"/>
        <v>32.672529771684509</v>
      </c>
      <c r="H44" s="11">
        <f t="shared" si="2"/>
        <v>67.131118329144982</v>
      </c>
      <c r="I44" s="76">
        <f t="shared" si="3"/>
        <v>154.8812708827293</v>
      </c>
      <c r="J44" s="78">
        <f t="shared" si="4"/>
        <v>26.750137455519081</v>
      </c>
      <c r="K44" s="99">
        <f>IF(T0_Korrektur!I44=-999,-999,T0_Korrektur!J44*ABS(T0_Korrektur!B44-T0_Korrektur!I$1)/T0_Korrektur!I44)</f>
        <v>-999</v>
      </c>
      <c r="L44" s="74">
        <f>IF(T0_Korrektur!K44=-999,-999,T0_Korrektur!L44*ABS(T0_Korrektur!B44-T0_Korrektur!K$1)/T0_Korrektur!K44)</f>
        <v>-999</v>
      </c>
      <c r="M44" s="11">
        <f t="shared" si="1"/>
        <v>0</v>
      </c>
      <c r="N44" s="76">
        <f t="shared" si="5"/>
        <v>0</v>
      </c>
      <c r="O44" s="78" t="e">
        <f t="shared" si="6"/>
        <v>#DIV/0!</v>
      </c>
      <c r="P44" s="72">
        <f>IF(T0_Korrektur!M44=-999,-999,T0_Korrektur!N44*ABS(T0_Korrektur!B44-T0_Korrektur!M$1)/T0_Korrektur!M44)</f>
        <v>-999</v>
      </c>
      <c r="Q44" s="91">
        <f>IF(T0_Korrektur!O44=-999,-999,T0_Korrektur!P44*ABS(T0_Korrektur!B44-T0_Korrektur!O$1)/T0_Korrektur!O44)</f>
        <v>-999</v>
      </c>
      <c r="R44" s="11">
        <f t="shared" si="7"/>
        <v>0</v>
      </c>
      <c r="S44" s="76">
        <f t="shared" si="8"/>
        <v>0</v>
      </c>
      <c r="T44" s="78" t="e">
        <f t="shared" si="9"/>
        <v>#DIV/0!</v>
      </c>
      <c r="U44" s="3"/>
    </row>
    <row r="45" spans="1:21" x14ac:dyDescent="0.2">
      <c r="A45" s="10">
        <v>43</v>
      </c>
      <c r="B45" s="10">
        <f>'Picks importieren'!B46</f>
        <v>177.5</v>
      </c>
      <c r="C45" s="95"/>
      <c r="D45" s="95">
        <f>T0_Korrektur!D45*ABS(T0_Korrektur!B45-T0_Korrektur!C$1)/T0_Korrektur!C45</f>
        <v>66.099433238541906</v>
      </c>
      <c r="E45" s="96">
        <f>T0_Korrektur!F45*ABS(T0_Korrektur!B45-T0_Korrektur!E$1)/T0_Korrektur!E45</f>
        <v>30.880201961426543</v>
      </c>
      <c r="F45" s="97">
        <f>T0_Korrektur!H45*ABS(T0_Korrektur!B45-T0_Korrektur!G$1)/T0_Korrektur!G45</f>
        <v>95.833908424365177</v>
      </c>
      <c r="G45" s="13">
        <f t="shared" si="0"/>
        <v>29.767247066274138</v>
      </c>
      <c r="H45" s="11">
        <f t="shared" si="2"/>
        <v>70.036401034555354</v>
      </c>
      <c r="I45" s="76">
        <f t="shared" si="3"/>
        <v>159.4512432402509</v>
      </c>
      <c r="J45" s="78">
        <f t="shared" si="4"/>
        <v>25.509544402219973</v>
      </c>
      <c r="K45" s="99">
        <f>IF(T0_Korrektur!I45=-999,-999,T0_Korrektur!J45*ABS(T0_Korrektur!B45-T0_Korrektur!I$1)/T0_Korrektur!I45)</f>
        <v>-999</v>
      </c>
      <c r="L45" s="74">
        <f>IF(T0_Korrektur!K45=-999,-999,T0_Korrektur!L45*ABS(T0_Korrektur!B45-T0_Korrektur!K$1)/T0_Korrektur!K45)</f>
        <v>-999</v>
      </c>
      <c r="M45" s="11">
        <f t="shared" si="1"/>
        <v>0</v>
      </c>
      <c r="N45" s="76">
        <f t="shared" si="5"/>
        <v>0</v>
      </c>
      <c r="O45" s="78" t="e">
        <f t="shared" si="6"/>
        <v>#DIV/0!</v>
      </c>
      <c r="P45" s="72">
        <f>IF(T0_Korrektur!M45=-999,-999,T0_Korrektur!N45*ABS(T0_Korrektur!B45-T0_Korrektur!M$1)/T0_Korrektur!M45)</f>
        <v>-999</v>
      </c>
      <c r="Q45" s="91">
        <f>IF(T0_Korrektur!O45=-999,-999,T0_Korrektur!P45*ABS(T0_Korrektur!B45-T0_Korrektur!O$1)/T0_Korrektur!O45)</f>
        <v>-999</v>
      </c>
      <c r="R45" s="11">
        <f t="shared" si="7"/>
        <v>0</v>
      </c>
      <c r="S45" s="76">
        <f t="shared" si="8"/>
        <v>0</v>
      </c>
      <c r="T45" s="78" t="e">
        <f t="shared" si="9"/>
        <v>#DIV/0!</v>
      </c>
      <c r="U45" s="3"/>
    </row>
    <row r="46" spans="1:21" x14ac:dyDescent="0.2">
      <c r="A46" s="10">
        <v>44</v>
      </c>
      <c r="B46" s="10">
        <f>'Picks importieren'!B47</f>
        <v>182.5</v>
      </c>
      <c r="C46" s="95"/>
      <c r="D46" s="95">
        <f>T0_Korrektur!D46*ABS(T0_Korrektur!B46-T0_Korrektur!C$1)/T0_Korrektur!C46</f>
        <v>67.321124484269745</v>
      </c>
      <c r="E46" s="96">
        <f>T0_Korrektur!F46*ABS(T0_Korrektur!B46-T0_Korrektur!E$1)/T0_Korrektur!E46</f>
        <v>23.864099549492831</v>
      </c>
      <c r="F46" s="97">
        <f>T0_Korrektur!H46*ABS(T0_Korrektur!B46-T0_Korrektur!G$1)/T0_Korrektur!G46</f>
        <v>96.858415429668895</v>
      </c>
      <c r="G46" s="13">
        <f t="shared" si="0"/>
        <v>22.751144654340436</v>
      </c>
      <c r="H46" s="11">
        <f t="shared" si="2"/>
        <v>77.052503446489055</v>
      </c>
      <c r="I46" s="76">
        <f t="shared" si="3"/>
        <v>167.49185265748832</v>
      </c>
      <c r="J46" s="78">
        <f t="shared" si="4"/>
        <v>19.51794899558999</v>
      </c>
      <c r="K46" s="99">
        <f>IF(T0_Korrektur!I46=-999,-999,T0_Korrektur!J46*ABS(T0_Korrektur!B46-T0_Korrektur!I$1)/T0_Korrektur!I46)</f>
        <v>-999</v>
      </c>
      <c r="L46" s="74">
        <f>IF(T0_Korrektur!K46=-999,-999,T0_Korrektur!L46*ABS(T0_Korrektur!B46-T0_Korrektur!K$1)/T0_Korrektur!K46)</f>
        <v>-999</v>
      </c>
      <c r="M46" s="11">
        <f t="shared" si="1"/>
        <v>0</v>
      </c>
      <c r="N46" s="76">
        <f t="shared" si="5"/>
        <v>0</v>
      </c>
      <c r="O46" s="78" t="e">
        <f t="shared" si="6"/>
        <v>#DIV/0!</v>
      </c>
      <c r="P46" s="72">
        <f>IF(T0_Korrektur!M46=-999,-999,T0_Korrektur!N46*ABS(T0_Korrektur!B46-T0_Korrektur!M$1)/T0_Korrektur!M46)</f>
        <v>-999</v>
      </c>
      <c r="Q46" s="91">
        <f>IF(T0_Korrektur!O46=-999,-999,T0_Korrektur!P46*ABS(T0_Korrektur!B46-T0_Korrektur!O$1)/T0_Korrektur!O46)</f>
        <v>-999</v>
      </c>
      <c r="R46" s="11">
        <f t="shared" si="7"/>
        <v>0</v>
      </c>
      <c r="S46" s="76">
        <f t="shared" si="8"/>
        <v>0</v>
      </c>
      <c r="T46" s="78" t="e">
        <f t="shared" si="9"/>
        <v>#DIV/0!</v>
      </c>
      <c r="U46" s="3"/>
    </row>
    <row r="47" spans="1:21" x14ac:dyDescent="0.2">
      <c r="A47" s="10">
        <v>45</v>
      </c>
      <c r="B47" s="10">
        <f>'Picks importieren'!B48</f>
        <v>185</v>
      </c>
      <c r="C47" s="95"/>
      <c r="D47" s="95">
        <f>T0_Korrektur!D47*ABS(T0_Korrektur!B47-T0_Korrektur!C$1)/T0_Korrektur!C47</f>
        <v>68.448043970305875</v>
      </c>
      <c r="E47" s="96">
        <f>T0_Korrektur!F47*ABS(T0_Korrektur!B47-T0_Korrektur!E$1)/T0_Korrektur!E47</f>
        <v>19.315918665301822</v>
      </c>
      <c r="F47" s="97">
        <f>T0_Korrektur!H47*ABS(T0_Korrektur!B47-T0_Korrektur!G$1)/T0_Korrektur!G47</f>
        <v>97.626801460632649</v>
      </c>
      <c r="G47" s="13">
        <f t="shared" si="0"/>
        <v>18.202963770149424</v>
      </c>
      <c r="H47" s="11">
        <f t="shared" si="2"/>
        <v>81.600684330680068</v>
      </c>
      <c r="I47" s="76">
        <f t="shared" si="3"/>
        <v>172.80841957264309</v>
      </c>
      <c r="J47" s="78">
        <f t="shared" si="4"/>
        <v>15.738154142362731</v>
      </c>
      <c r="K47" s="99">
        <f>IF(T0_Korrektur!I47=-999,-999,T0_Korrektur!J47*ABS(T0_Korrektur!B47-T0_Korrektur!I$1)/T0_Korrektur!I47)</f>
        <v>-999</v>
      </c>
      <c r="L47" s="74">
        <f>IF(T0_Korrektur!K47=-999,-999,T0_Korrektur!L47*ABS(T0_Korrektur!B47-T0_Korrektur!K$1)/T0_Korrektur!K47)</f>
        <v>-999</v>
      </c>
      <c r="M47" s="11">
        <f t="shared" si="1"/>
        <v>0</v>
      </c>
      <c r="N47" s="76">
        <f t="shared" si="5"/>
        <v>0</v>
      </c>
      <c r="O47" s="78" t="e">
        <f t="shared" si="6"/>
        <v>#DIV/0!</v>
      </c>
      <c r="P47" s="72">
        <f>IF(T0_Korrektur!M47=-999,-999,T0_Korrektur!N47*ABS(T0_Korrektur!B47-T0_Korrektur!M$1)/T0_Korrektur!M47)</f>
        <v>-999</v>
      </c>
      <c r="Q47" s="91">
        <f>IF(T0_Korrektur!O47=-999,-999,T0_Korrektur!P47*ABS(T0_Korrektur!B47-T0_Korrektur!O$1)/T0_Korrektur!O47)</f>
        <v>-999</v>
      </c>
      <c r="R47" s="11">
        <f t="shared" si="7"/>
        <v>0</v>
      </c>
      <c r="S47" s="76">
        <f t="shared" si="8"/>
        <v>0</v>
      </c>
      <c r="T47" s="78" t="e">
        <f t="shared" si="9"/>
        <v>#DIV/0!</v>
      </c>
      <c r="U47" s="3"/>
    </row>
    <row r="48" spans="1:21" x14ac:dyDescent="0.2">
      <c r="A48" s="10">
        <v>46</v>
      </c>
      <c r="B48" s="10">
        <f>'Picks importieren'!B49</f>
        <v>187.5</v>
      </c>
      <c r="C48" s="95"/>
      <c r="D48" s="95">
        <f>T0_Korrektur!D48*ABS(T0_Korrektur!B48-T0_Korrektur!C$1)/T0_Korrektur!C48</f>
        <v>69.293375801382254</v>
      </c>
      <c r="E48" s="96">
        <f>T0_Korrektur!F48*ABS(T0_Korrektur!B48-T0_Korrektur!E$1)/T0_Korrektur!E48</f>
        <v>14.732875285030337</v>
      </c>
      <c r="F48" s="97">
        <f>T0_Korrektur!H48*ABS(T0_Korrektur!B48-T0_Korrektur!G$1)/T0_Korrektur!G48</f>
        <v>98.395084585578303</v>
      </c>
      <c r="G48" s="13">
        <f t="shared" si="0"/>
        <v>13.619920389877933</v>
      </c>
      <c r="H48" s="11">
        <f t="shared" si="2"/>
        <v>86.183727710951558</v>
      </c>
      <c r="I48" s="76">
        <f t="shared" si="3"/>
        <v>178.15974607786023</v>
      </c>
      <c r="J48" s="78">
        <f t="shared" si="4"/>
        <v>11.923393887036895</v>
      </c>
      <c r="K48" s="99">
        <f>IF(T0_Korrektur!I48=-999,-999,T0_Korrektur!J48*ABS(T0_Korrektur!B48-T0_Korrektur!I$1)/T0_Korrektur!I48)</f>
        <v>-999</v>
      </c>
      <c r="L48" s="74">
        <f>IF(T0_Korrektur!K48=-999,-999,T0_Korrektur!L48*ABS(T0_Korrektur!B48-T0_Korrektur!K$1)/T0_Korrektur!K48)</f>
        <v>-999</v>
      </c>
      <c r="M48" s="11">
        <f t="shared" si="1"/>
        <v>0</v>
      </c>
      <c r="N48" s="76">
        <f t="shared" si="5"/>
        <v>0</v>
      </c>
      <c r="O48" s="78" t="e">
        <f t="shared" si="6"/>
        <v>#DIV/0!</v>
      </c>
      <c r="P48" s="72">
        <f>IF(T0_Korrektur!M48=-999,-999,T0_Korrektur!N48*ABS(T0_Korrektur!B48-T0_Korrektur!M$1)/T0_Korrektur!M48)</f>
        <v>-999</v>
      </c>
      <c r="Q48" s="91">
        <f>IF(T0_Korrektur!O48=-999,-999,T0_Korrektur!P48*ABS(T0_Korrektur!B48-T0_Korrektur!O$1)/T0_Korrektur!O48)</f>
        <v>-999</v>
      </c>
      <c r="R48" s="11">
        <f t="shared" si="7"/>
        <v>0</v>
      </c>
      <c r="S48" s="76">
        <f t="shared" si="8"/>
        <v>0</v>
      </c>
      <c r="T48" s="78" t="e">
        <f t="shared" si="9"/>
        <v>#DIV/0!</v>
      </c>
      <c r="U48" s="3"/>
    </row>
    <row r="49" spans="1:21" x14ac:dyDescent="0.2">
      <c r="A49" s="10">
        <v>47</v>
      </c>
      <c r="B49" s="10">
        <f>'Picks importieren'!B50</f>
        <v>190</v>
      </c>
      <c r="C49" s="95"/>
      <c r="D49" s="95">
        <f>T0_Korrektur!D49*ABS(T0_Korrektur!B49-T0_Korrektur!C$1)/T0_Korrektur!C49</f>
        <v>70.245651939639203</v>
      </c>
      <c r="E49" s="96">
        <f>T0_Korrektur!F49*ABS(T0_Korrektur!B49-T0_Korrektur!E$1)/T0_Korrektur!E49</f>
        <v>10.259131943972239</v>
      </c>
      <c r="F49" s="97">
        <f>T0_Korrektur!H49*ABS(T0_Korrektur!B49-T0_Korrektur!G$1)/T0_Korrektur!G49</f>
        <v>98.907376128937216</v>
      </c>
      <c r="G49" s="13">
        <f t="shared" si="0"/>
        <v>9.1461770488198368</v>
      </c>
      <c r="H49" s="11">
        <f t="shared" si="2"/>
        <v>90.657471052009654</v>
      </c>
      <c r="I49" s="76">
        <f t="shared" si="3"/>
        <v>183.14578096227723</v>
      </c>
      <c r="J49" s="78">
        <f t="shared" si="4"/>
        <v>7.9619420893377111</v>
      </c>
      <c r="K49" s="99">
        <f>IF(T0_Korrektur!I49=-999,-999,T0_Korrektur!J49*ABS(T0_Korrektur!B49-T0_Korrektur!I$1)/T0_Korrektur!I49)</f>
        <v>-999</v>
      </c>
      <c r="L49" s="74">
        <f>IF(T0_Korrektur!K49=-999,-999,T0_Korrektur!L49*ABS(T0_Korrektur!B49-T0_Korrektur!K$1)/T0_Korrektur!K49)</f>
        <v>-999</v>
      </c>
      <c r="M49" s="11">
        <f t="shared" si="1"/>
        <v>0</v>
      </c>
      <c r="N49" s="76">
        <f t="shared" si="5"/>
        <v>0</v>
      </c>
      <c r="O49" s="78" t="e">
        <f t="shared" si="6"/>
        <v>#DIV/0!</v>
      </c>
      <c r="P49" s="72">
        <f>IF(T0_Korrektur!M49=-999,-999,T0_Korrektur!N49*ABS(T0_Korrektur!B49-T0_Korrektur!M$1)/T0_Korrektur!M49)</f>
        <v>-999</v>
      </c>
      <c r="Q49" s="91">
        <f>IF(T0_Korrektur!O49=-999,-999,T0_Korrektur!P49*ABS(T0_Korrektur!B49-T0_Korrektur!O$1)/T0_Korrektur!O49)</f>
        <v>-999</v>
      </c>
      <c r="R49" s="11">
        <f t="shared" si="7"/>
        <v>0</v>
      </c>
      <c r="S49" s="76">
        <f t="shared" si="8"/>
        <v>0</v>
      </c>
      <c r="T49" s="78" t="e">
        <f t="shared" si="9"/>
        <v>#DIV/0!</v>
      </c>
      <c r="U49" s="3"/>
    </row>
    <row r="50" spans="1:21" x14ac:dyDescent="0.2">
      <c r="A50" s="10">
        <v>48</v>
      </c>
      <c r="B50" s="10">
        <f>'Picks importieren'!B51</f>
        <v>192.5</v>
      </c>
      <c r="C50" s="95"/>
      <c r="D50" s="95">
        <f>T0_Korrektur!D50*ABS(T0_Korrektur!B50-T0_Korrektur!C$1)/T0_Korrektur!C50</f>
        <v>70.655080144554915</v>
      </c>
      <c r="E50" s="96">
        <f>T0_Korrektur!F50*ABS(T0_Korrektur!B50-T0_Korrektur!E$1)/T0_Korrektur!E50</f>
        <v>4.5960897337017226</v>
      </c>
      <c r="F50" s="97">
        <f>T0_Korrektur!H50*ABS(T0_Korrektur!B50-T0_Korrektur!G$1)/T0_Korrektur!G50</f>
        <v>99.803648100829491</v>
      </c>
      <c r="G50" s="13">
        <f t="shared" si="0"/>
        <v>3.4831348385493186</v>
      </c>
      <c r="H50" s="11">
        <f t="shared" si="2"/>
        <v>96.320513262280173</v>
      </c>
      <c r="I50" s="76">
        <f t="shared" si="3"/>
        <v>189.70509514444004</v>
      </c>
      <c r="J50" s="78">
        <f t="shared" si="4"/>
        <v>3.1951718509594684</v>
      </c>
      <c r="K50" s="99">
        <f>IF(T0_Korrektur!I50=-999,-999,T0_Korrektur!J50*ABS(T0_Korrektur!B50-T0_Korrektur!I$1)/T0_Korrektur!I50)</f>
        <v>-999</v>
      </c>
      <c r="L50" s="74">
        <f>IF(T0_Korrektur!K50=-999,-999,T0_Korrektur!L50*ABS(T0_Korrektur!B50-T0_Korrektur!K$1)/T0_Korrektur!K50)</f>
        <v>-999</v>
      </c>
      <c r="M50" s="11">
        <f t="shared" si="1"/>
        <v>0</v>
      </c>
      <c r="N50" s="76">
        <f t="shared" si="5"/>
        <v>0</v>
      </c>
      <c r="O50" s="78" t="e">
        <f t="shared" si="6"/>
        <v>#DIV/0!</v>
      </c>
      <c r="P50" s="72">
        <f>IF(T0_Korrektur!M50=-999,-999,T0_Korrektur!N50*ABS(T0_Korrektur!B50-T0_Korrektur!M$1)/T0_Korrektur!M50)</f>
        <v>-999</v>
      </c>
      <c r="Q50" s="91">
        <f>IF(T0_Korrektur!O50=-999,-999,T0_Korrektur!P50*ABS(T0_Korrektur!B50-T0_Korrektur!O$1)/T0_Korrektur!O50)</f>
        <v>-999</v>
      </c>
      <c r="R50" s="11">
        <f t="shared" si="7"/>
        <v>0</v>
      </c>
      <c r="S50" s="76">
        <f t="shared" si="8"/>
        <v>0</v>
      </c>
      <c r="T50" s="78" t="e">
        <f t="shared" si="9"/>
        <v>#DIV/0!</v>
      </c>
      <c r="U50" s="3"/>
    </row>
    <row r="51" spans="1:21" x14ac:dyDescent="0.2">
      <c r="A51" s="219"/>
      <c r="B51" s="219"/>
      <c r="C51" s="220"/>
      <c r="D51" s="220"/>
      <c r="E51" s="221"/>
      <c r="F51" s="222"/>
      <c r="G51" s="223"/>
      <c r="H51" s="224"/>
      <c r="I51" s="225"/>
      <c r="J51" s="226"/>
      <c r="K51" s="227"/>
      <c r="L51" s="228"/>
      <c r="M51" s="224"/>
      <c r="N51" s="225"/>
      <c r="O51" s="226"/>
      <c r="P51" s="229"/>
      <c r="Q51" s="230"/>
      <c r="R51" s="224"/>
      <c r="S51" s="225"/>
      <c r="T51" s="226"/>
    </row>
    <row r="52" spans="1:21" x14ac:dyDescent="0.2">
      <c r="A52" s="219"/>
      <c r="B52" s="219"/>
      <c r="C52" s="220"/>
      <c r="D52" s="220"/>
      <c r="E52" s="221"/>
      <c r="F52" s="222"/>
      <c r="G52" s="223"/>
      <c r="H52" s="224"/>
      <c r="I52" s="225"/>
      <c r="J52" s="226"/>
      <c r="K52" s="227"/>
      <c r="L52" s="228"/>
      <c r="M52" s="224"/>
      <c r="N52" s="225"/>
      <c r="O52" s="226"/>
      <c r="P52" s="229"/>
      <c r="Q52" s="230"/>
      <c r="R52" s="224"/>
      <c r="S52" s="225"/>
      <c r="T52" s="226"/>
    </row>
    <row r="53" spans="1:21" ht="12.75" customHeight="1" x14ac:dyDescent="0.2">
      <c r="A53" s="219"/>
      <c r="B53" s="219"/>
      <c r="C53" s="220"/>
      <c r="D53" s="220"/>
      <c r="E53" s="221"/>
      <c r="F53" s="222"/>
      <c r="G53" s="223"/>
      <c r="H53" s="224"/>
      <c r="I53" s="225"/>
      <c r="J53" s="226"/>
      <c r="K53" s="227"/>
      <c r="L53" s="228"/>
      <c r="M53" s="224"/>
      <c r="N53" s="225"/>
      <c r="O53" s="226"/>
      <c r="P53" s="229"/>
      <c r="Q53" s="230"/>
      <c r="R53" s="224"/>
      <c r="S53" s="225"/>
      <c r="T53" s="226"/>
    </row>
    <row r="54" spans="1:21" ht="12.75" customHeight="1" x14ac:dyDescent="0.2">
      <c r="A54" s="219"/>
      <c r="B54" s="219"/>
      <c r="C54" s="220"/>
      <c r="D54" s="220"/>
      <c r="E54" s="221"/>
      <c r="F54" s="222"/>
      <c r="G54" s="223"/>
      <c r="H54" s="224"/>
      <c r="I54" s="225"/>
      <c r="J54" s="226"/>
      <c r="K54" s="227"/>
      <c r="L54" s="228"/>
      <c r="M54" s="224"/>
      <c r="N54" s="225"/>
      <c r="O54" s="226"/>
      <c r="P54" s="229"/>
      <c r="Q54" s="230"/>
      <c r="R54" s="224"/>
      <c r="S54" s="225"/>
      <c r="T54" s="226"/>
    </row>
    <row r="55" spans="1:21" s="3" customFormat="1" ht="12.75" customHeight="1" x14ac:dyDescent="0.2">
      <c r="A55" s="219"/>
      <c r="B55" s="219"/>
      <c r="C55" s="220"/>
      <c r="D55" s="220"/>
      <c r="E55" s="221"/>
      <c r="F55" s="222"/>
      <c r="G55" s="223"/>
      <c r="H55" s="224"/>
      <c r="I55" s="225"/>
      <c r="J55" s="226"/>
      <c r="K55" s="227"/>
      <c r="L55" s="228"/>
      <c r="M55" s="224"/>
      <c r="N55" s="225"/>
      <c r="O55" s="226"/>
      <c r="P55" s="229"/>
      <c r="Q55" s="230"/>
      <c r="R55" s="224"/>
      <c r="S55" s="225"/>
      <c r="T55" s="226"/>
    </row>
    <row r="56" spans="1:21" s="1" customFormat="1" x14ac:dyDescent="0.2">
      <c r="A56" s="219"/>
      <c r="B56" s="219"/>
      <c r="C56" s="220"/>
      <c r="D56" s="220"/>
      <c r="E56" s="221"/>
      <c r="F56" s="222"/>
      <c r="G56" s="223"/>
      <c r="H56" s="224"/>
      <c r="I56" s="225"/>
      <c r="J56" s="226"/>
      <c r="K56" s="227"/>
      <c r="L56" s="228"/>
      <c r="M56" s="224"/>
      <c r="N56" s="225"/>
      <c r="O56" s="226"/>
      <c r="P56" s="229"/>
      <c r="Q56" s="230"/>
      <c r="R56" s="224"/>
      <c r="S56" s="225"/>
      <c r="T56" s="226"/>
    </row>
    <row r="58" spans="1:21" x14ac:dyDescent="0.2">
      <c r="M58" s="6"/>
      <c r="N58" s="6"/>
      <c r="O58" s="6"/>
    </row>
    <row r="59" spans="1:21" x14ac:dyDescent="0.2">
      <c r="M59" s="7"/>
      <c r="N59" s="7"/>
      <c r="O59" s="7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CF106"/>
  <sheetViews>
    <sheetView topLeftCell="S1" workbookViewId="0">
      <selection activeCell="BX47" sqref="BX47"/>
    </sheetView>
  </sheetViews>
  <sheetFormatPr baseColWidth="10" defaultColWidth="11.5703125" defaultRowHeight="11.25" x14ac:dyDescent="0.2"/>
  <cols>
    <col min="1" max="1" width="4" style="116" bestFit="1" customWidth="1"/>
    <col min="2" max="3" width="7.7109375" style="116" customWidth="1"/>
    <col min="4" max="13" width="7.7109375" style="115" customWidth="1"/>
    <col min="14" max="67" width="7.7109375" style="2" customWidth="1"/>
    <col min="68" max="69" width="7.5703125" style="2" bestFit="1" customWidth="1"/>
    <col min="70" max="72" width="5.7109375" style="2" bestFit="1" customWidth="1"/>
    <col min="73" max="73" width="6.28515625" style="2" bestFit="1" customWidth="1"/>
    <col min="74" max="81" width="5.7109375" style="2" customWidth="1"/>
    <col min="82" max="16384" width="11.5703125" style="2"/>
  </cols>
  <sheetData>
    <row r="1" spans="1:84" ht="13.5" customHeight="1" thickBot="1" x14ac:dyDescent="0.25">
      <c r="B1" s="298" t="s">
        <v>25</v>
      </c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300"/>
      <c r="W1" s="327" t="s">
        <v>27</v>
      </c>
      <c r="X1" s="328"/>
      <c r="Y1" s="328"/>
      <c r="Z1" s="328"/>
      <c r="AA1" s="328"/>
      <c r="AB1" s="328"/>
      <c r="AC1" s="328"/>
      <c r="AD1" s="328"/>
      <c r="AE1" s="329"/>
      <c r="AF1" s="329"/>
      <c r="AG1" s="329"/>
      <c r="AH1" s="329"/>
      <c r="AI1" s="329"/>
      <c r="AJ1" s="329"/>
      <c r="AK1" s="329"/>
      <c r="AL1" s="329"/>
      <c r="AM1" s="329"/>
      <c r="AN1" s="329"/>
      <c r="AO1" s="329"/>
      <c r="AP1" s="329"/>
      <c r="AQ1" s="329"/>
      <c r="AR1" s="329"/>
      <c r="AS1" s="329"/>
      <c r="AT1" s="329"/>
      <c r="AU1" s="329"/>
      <c r="AV1" s="329"/>
      <c r="AW1" s="329"/>
      <c r="AX1" s="329"/>
      <c r="AY1" s="329"/>
      <c r="AZ1" s="329"/>
      <c r="BA1" s="329"/>
      <c r="BB1" s="329"/>
      <c r="BC1" s="329"/>
      <c r="BD1" s="329"/>
      <c r="BE1" s="329"/>
      <c r="BF1" s="329"/>
      <c r="BG1" s="329"/>
      <c r="BH1" s="329"/>
      <c r="BI1" s="329"/>
      <c r="BJ1" s="329"/>
      <c r="BK1" s="329"/>
      <c r="BL1" s="329"/>
      <c r="BM1" s="329"/>
      <c r="BN1" s="329"/>
      <c r="BO1" s="329"/>
      <c r="BP1" s="312" t="s">
        <v>67</v>
      </c>
      <c r="BQ1" s="330"/>
      <c r="BR1" s="312" t="s">
        <v>71</v>
      </c>
      <c r="BS1" s="313"/>
      <c r="BT1" s="313"/>
      <c r="BU1" s="314"/>
      <c r="BV1" s="321" t="s">
        <v>84</v>
      </c>
      <c r="BW1" s="322"/>
      <c r="BX1" s="322"/>
      <c r="BY1" s="322"/>
      <c r="BZ1" s="322"/>
      <c r="CA1" s="322"/>
      <c r="CB1" s="322"/>
      <c r="CC1" s="323"/>
    </row>
    <row r="2" spans="1:84" ht="12.75" customHeight="1" x14ac:dyDescent="0.2">
      <c r="B2" s="296" t="s">
        <v>66</v>
      </c>
      <c r="C2" s="301"/>
      <c r="D2" s="301"/>
      <c r="E2" s="297"/>
      <c r="F2" s="302" t="s">
        <v>61</v>
      </c>
      <c r="G2" s="303"/>
      <c r="H2" s="303"/>
      <c r="I2" s="303"/>
      <c r="J2" s="303"/>
      <c r="K2" s="304"/>
      <c r="L2" s="296" t="s">
        <v>62</v>
      </c>
      <c r="M2" s="297"/>
      <c r="N2" s="296" t="s">
        <v>80</v>
      </c>
      <c r="O2" s="301"/>
      <c r="P2" s="297"/>
      <c r="Q2" s="302" t="s">
        <v>82</v>
      </c>
      <c r="R2" s="303"/>
      <c r="S2" s="303"/>
      <c r="T2" s="303"/>
      <c r="U2" s="303"/>
      <c r="V2" s="304"/>
      <c r="W2" s="307" t="s">
        <v>66</v>
      </c>
      <c r="X2" s="305"/>
      <c r="Y2" s="305"/>
      <c r="Z2" s="305"/>
      <c r="AA2" s="305"/>
      <c r="AB2" s="305"/>
      <c r="AC2" s="305"/>
      <c r="AD2" s="306"/>
      <c r="AE2" s="308" t="s">
        <v>61</v>
      </c>
      <c r="AF2" s="308"/>
      <c r="AG2" s="308"/>
      <c r="AH2" s="308"/>
      <c r="AI2" s="308"/>
      <c r="AJ2" s="308"/>
      <c r="AK2" s="308"/>
      <c r="AL2" s="308"/>
      <c r="AM2" s="307" t="s">
        <v>63</v>
      </c>
      <c r="AN2" s="305"/>
      <c r="AO2" s="305"/>
      <c r="AP2" s="305"/>
      <c r="AQ2" s="305"/>
      <c r="AR2" s="305"/>
      <c r="AS2" s="305"/>
      <c r="AT2" s="306"/>
      <c r="AU2" s="307" t="s">
        <v>80</v>
      </c>
      <c r="AV2" s="305"/>
      <c r="AW2" s="305"/>
      <c r="AX2" s="305"/>
      <c r="AY2" s="305"/>
      <c r="AZ2" s="305"/>
      <c r="BA2" s="306"/>
      <c r="BB2" s="305" t="s">
        <v>82</v>
      </c>
      <c r="BC2" s="305"/>
      <c r="BD2" s="305"/>
      <c r="BE2" s="305"/>
      <c r="BF2" s="305"/>
      <c r="BG2" s="305"/>
      <c r="BH2" s="306"/>
      <c r="BI2" s="307" t="s">
        <v>83</v>
      </c>
      <c r="BJ2" s="305"/>
      <c r="BK2" s="305"/>
      <c r="BL2" s="305"/>
      <c r="BM2" s="305"/>
      <c r="BN2" s="305"/>
      <c r="BO2" s="306"/>
      <c r="BP2" s="325" t="s">
        <v>70</v>
      </c>
      <c r="BQ2" s="326"/>
      <c r="BR2" s="315" t="s">
        <v>72</v>
      </c>
      <c r="BS2" s="316"/>
      <c r="BT2" s="316"/>
      <c r="BU2" s="317"/>
      <c r="BV2" s="324" t="s">
        <v>68</v>
      </c>
      <c r="BW2" s="310"/>
      <c r="BX2" s="310"/>
      <c r="BY2" s="310"/>
      <c r="BZ2" s="309" t="s">
        <v>69</v>
      </c>
      <c r="CA2" s="310"/>
      <c r="CB2" s="310"/>
      <c r="CC2" s="311"/>
    </row>
    <row r="3" spans="1:84" s="41" customFormat="1" x14ac:dyDescent="0.2">
      <c r="A3" s="122" t="s">
        <v>0</v>
      </c>
      <c r="B3" s="123" t="s">
        <v>59</v>
      </c>
      <c r="C3" s="124" t="s">
        <v>60</v>
      </c>
      <c r="D3" s="124" t="s">
        <v>55</v>
      </c>
      <c r="E3" s="125" t="s">
        <v>56</v>
      </c>
      <c r="F3" s="126" t="s">
        <v>74</v>
      </c>
      <c r="G3" s="124" t="s">
        <v>75</v>
      </c>
      <c r="H3" s="124" t="s">
        <v>57</v>
      </c>
      <c r="I3" s="127" t="s">
        <v>58</v>
      </c>
      <c r="J3" s="124" t="s">
        <v>64</v>
      </c>
      <c r="K3" s="128" t="s">
        <v>65</v>
      </c>
      <c r="L3" s="126" t="s">
        <v>74</v>
      </c>
      <c r="M3" s="129" t="s">
        <v>75</v>
      </c>
      <c r="N3" s="81" t="s">
        <v>81</v>
      </c>
      <c r="O3" s="124" t="s">
        <v>55</v>
      </c>
      <c r="P3" s="127" t="s">
        <v>56</v>
      </c>
      <c r="Q3" s="113" t="s">
        <v>74</v>
      </c>
      <c r="R3" s="111" t="s">
        <v>75</v>
      </c>
      <c r="S3" s="124" t="s">
        <v>57</v>
      </c>
      <c r="T3" s="127" t="s">
        <v>58</v>
      </c>
      <c r="U3" s="124" t="s">
        <v>64</v>
      </c>
      <c r="V3" s="128" t="s">
        <v>65</v>
      </c>
      <c r="W3" s="123" t="s">
        <v>59</v>
      </c>
      <c r="X3" s="124" t="s">
        <v>60</v>
      </c>
      <c r="Y3" s="124" t="s">
        <v>55</v>
      </c>
      <c r="Z3" s="127" t="s">
        <v>56</v>
      </c>
      <c r="AA3" s="124" t="s">
        <v>57</v>
      </c>
      <c r="AB3" s="128" t="s">
        <v>58</v>
      </c>
      <c r="AC3" s="124" t="s">
        <v>64</v>
      </c>
      <c r="AD3" s="125" t="s">
        <v>65</v>
      </c>
      <c r="AE3" s="135" t="s">
        <v>59</v>
      </c>
      <c r="AF3" s="124" t="s">
        <v>60</v>
      </c>
      <c r="AG3" s="124" t="s">
        <v>55</v>
      </c>
      <c r="AH3" s="124" t="s">
        <v>56</v>
      </c>
      <c r="AI3" s="124" t="s">
        <v>57</v>
      </c>
      <c r="AJ3" s="124" t="s">
        <v>58</v>
      </c>
      <c r="AK3" s="124" t="s">
        <v>64</v>
      </c>
      <c r="AL3" s="127" t="s">
        <v>65</v>
      </c>
      <c r="AM3" s="123" t="s">
        <v>59</v>
      </c>
      <c r="AN3" s="124" t="s">
        <v>60</v>
      </c>
      <c r="AO3" s="124" t="s">
        <v>55</v>
      </c>
      <c r="AP3" s="124" t="s">
        <v>56</v>
      </c>
      <c r="AQ3" s="124" t="s">
        <v>57</v>
      </c>
      <c r="AR3" s="124" t="s">
        <v>58</v>
      </c>
      <c r="AS3" s="124" t="s">
        <v>64</v>
      </c>
      <c r="AT3" s="125" t="s">
        <v>65</v>
      </c>
      <c r="AU3" s="81" t="s">
        <v>81</v>
      </c>
      <c r="AV3" s="124" t="s">
        <v>55</v>
      </c>
      <c r="AW3" s="127" t="s">
        <v>56</v>
      </c>
      <c r="AX3" s="124" t="s">
        <v>57</v>
      </c>
      <c r="AY3" s="127" t="s">
        <v>58</v>
      </c>
      <c r="AZ3" s="124" t="s">
        <v>64</v>
      </c>
      <c r="BA3" s="125" t="s">
        <v>65</v>
      </c>
      <c r="BB3" s="137" t="s">
        <v>81</v>
      </c>
      <c r="BC3" s="111" t="s">
        <v>55</v>
      </c>
      <c r="BD3" s="111" t="s">
        <v>56</v>
      </c>
      <c r="BE3" s="111" t="s">
        <v>57</v>
      </c>
      <c r="BF3" s="111" t="s">
        <v>58</v>
      </c>
      <c r="BG3" s="111" t="s">
        <v>64</v>
      </c>
      <c r="BH3" s="114" t="s">
        <v>65</v>
      </c>
      <c r="BI3" s="113" t="s">
        <v>81</v>
      </c>
      <c r="BJ3" s="111" t="s">
        <v>55</v>
      </c>
      <c r="BK3" s="111" t="s">
        <v>56</v>
      </c>
      <c r="BL3" s="111" t="s">
        <v>57</v>
      </c>
      <c r="BM3" s="111" t="s">
        <v>58</v>
      </c>
      <c r="BN3" s="111" t="s">
        <v>64</v>
      </c>
      <c r="BO3" s="114" t="s">
        <v>65</v>
      </c>
      <c r="BP3" s="112" t="s">
        <v>68</v>
      </c>
      <c r="BQ3" s="101" t="s">
        <v>69</v>
      </c>
      <c r="BR3" s="100"/>
      <c r="BS3" s="43"/>
      <c r="BT3" s="43"/>
      <c r="BU3" s="117"/>
      <c r="BV3" s="318">
        <f>IF(BP4=-999,"",SQRT(SUMSQ(BV4:BY57)/COUNT(BV4:BY57)))</f>
        <v>12.051379105631714</v>
      </c>
      <c r="BW3" s="319"/>
      <c r="BX3" s="319"/>
      <c r="BY3" s="319"/>
      <c r="BZ3" s="318">
        <f>IF(BQ4=-999,"",SQRT(SUMSQ(BZ4:CC57)/COUNT(BZ4:CC57)))</f>
        <v>7.0681307454849671</v>
      </c>
      <c r="CA3" s="319"/>
      <c r="CB3" s="319"/>
      <c r="CC3" s="320"/>
      <c r="CE3" s="213"/>
      <c r="CF3" s="213"/>
    </row>
    <row r="4" spans="1:84" x14ac:dyDescent="0.2">
      <c r="A4" s="130">
        <f>'Picks importieren'!B4</f>
        <v>0</v>
      </c>
      <c r="B4" s="120" t="str">
        <f>IF(AND($A4&gt;='Auswertung 2-Schicht'!C$3,$A4&lt;='Auswertung 2-Schicht'!C$4),Berechnung!C3,"")</f>
        <v/>
      </c>
      <c r="C4" s="118" t="str">
        <f>IF(AND($A4&gt;='Auswertung 2-Schicht'!D$3,$A4&lt;='Auswertung 2-Schicht'!D$4),Berechnung!D3,"")</f>
        <v/>
      </c>
      <c r="D4" s="118" t="str">
        <f>IF(AND($A4&gt;='Auswertung 2-Schicht'!E$3,$A4&lt;='Auswertung 2-Schicht'!E$4),Berechnung!G3,"")</f>
        <v/>
      </c>
      <c r="E4" s="121">
        <f>IF(AND($A4&gt;='Auswertung 2-Schicht'!F$3,$A4&lt;='Auswertung 2-Schicht'!F$4),Berechnung!F3,"")</f>
        <v>6.4190662186696157</v>
      </c>
      <c r="F4" s="131" t="str">
        <f>IF(AND($A4&gt;='Auswertung 2-Schicht'!H$3,$A4&lt;='Auswertung 2-Schicht'!H$4),IF('Auswertung 2-Schicht'!$H$8=1,Berechnung!I3,IF('Auswertung 2-Schicht'!$H$8=2,Berechnung!N3,Berechnung!S3)),"")</f>
        <v/>
      </c>
      <c r="G4" s="118" t="str">
        <f>IF(AND($A4&gt;='Auswertung 2-Schicht'!H$3,$A4&lt;='Auswertung 2-Schicht'!H$4),IF('Auswertung 2-Schicht'!$H$8=1,Berechnung!J3,IF('Auswertung 2-Schicht'!$H$8=2,Berechnung!O3,Berechnung!T3)),"")</f>
        <v/>
      </c>
      <c r="H4" s="118">
        <f>IF(AND($A4&gt;='Auswertung 2-Schicht'!I$3,$A4&lt;='Auswertung 2-Schicht'!I$4),Berechnung!K3,"")</f>
        <v>-999</v>
      </c>
      <c r="I4" s="132">
        <f>IF(AND($A4&gt;='Auswertung 2-Schicht'!J$3,$A4&lt;='Auswertung 2-Schicht'!J$4),Berechnung!L3,"")</f>
        <v>-999</v>
      </c>
      <c r="J4" s="118">
        <f>IF(AND($A4&gt;='Auswertung 2-Schicht'!K$3,$A4&lt;='Auswertung 2-Schicht'!K$4),Berechnung!P3,"")</f>
        <v>-999</v>
      </c>
      <c r="K4" s="118">
        <f>IF(AND($A4&gt;='Auswertung 2-Schicht'!L$3,$A4&lt;='Auswertung 2-Schicht'!L$4),Berechnung!Q3,"")</f>
        <v>-999</v>
      </c>
      <c r="L4" s="131">
        <f>IF('Auswertung 2-Schicht'!$H$8=1,Berechnung!I3,IF('Auswertung 2-Schicht'!$H$8=2,Berechnung!N3,Berechnung!S3))</f>
        <v>-2.6645352591003757E-15</v>
      </c>
      <c r="M4" s="133">
        <f>IF('Auswertung 2-Schicht'!$H$8=1,Berechnung!J3,IF('Auswertung 2-Schicht'!$H$8=2,Berechnung!O3,Berechnung!T3))</f>
        <v>6.1311032310797628</v>
      </c>
      <c r="N4" s="82">
        <f>IF(SUM(B4:C4)=0,-999,SUM(B4:C4))</f>
        <v>-999</v>
      </c>
      <c r="O4" s="42">
        <f t="shared" ref="O4:V4" si="0">IF(D4="",-999,D4)</f>
        <v>-999</v>
      </c>
      <c r="P4" s="83">
        <f t="shared" si="0"/>
        <v>6.4190662186696157</v>
      </c>
      <c r="Q4" s="82">
        <f t="shared" si="0"/>
        <v>-999</v>
      </c>
      <c r="R4" s="42">
        <f t="shared" si="0"/>
        <v>-999</v>
      </c>
      <c r="S4" s="42">
        <f t="shared" si="0"/>
        <v>-999</v>
      </c>
      <c r="T4" s="42">
        <f t="shared" si="0"/>
        <v>-999</v>
      </c>
      <c r="U4" s="42">
        <f t="shared" si="0"/>
        <v>-999</v>
      </c>
      <c r="V4" s="110">
        <f t="shared" si="0"/>
        <v>-999</v>
      </c>
      <c r="W4" s="120" t="str">
        <f>IF(AND($A4&gt;='Auswertung 3-Schicht'!D$3,$A4&lt;='Auswertung 3-Schicht'!D$4),Berechnung!C3,"")</f>
        <v/>
      </c>
      <c r="X4" s="118" t="str">
        <f>IF(AND($A4&gt;='Auswertung 3-Schicht'!E$3,$A4&lt;='Auswertung 3-Schicht'!E$4),Berechnung!D3,"")</f>
        <v/>
      </c>
      <c r="Y4" s="118" t="str">
        <f>IF(AND($A4&gt;='Auswertung 3-Schicht'!F$3,$A4&lt;='Auswertung 3-Schicht'!F$4),Berechnung!E3,"")</f>
        <v/>
      </c>
      <c r="Z4" s="132">
        <f>IF(AND($A4&gt;='Auswertung 3-Schicht'!G$3,$A4&lt;='Auswertung 3-Schicht'!G$4),Berechnung!F3,"")</f>
        <v>6.4190662186696157</v>
      </c>
      <c r="AA4" s="118">
        <f>IF(AND($A4&gt;='Auswertung 3-Schicht'!H$3,$A4&lt;='Auswertung 3-Schicht'!H$4),Berechnung!K3,"")</f>
        <v>-999</v>
      </c>
      <c r="AB4" s="134">
        <f>IF(AND($A4&gt;='Auswertung 3-Schicht'!I$3,$A4&lt;='Auswertung 3-Schicht'!I$4),Berechnung!L3,"")</f>
        <v>-999</v>
      </c>
      <c r="AC4" s="118">
        <f>IF(AND($A4&gt;='Auswertung 3-Schicht'!J$3,$A4&lt;='Auswertung 3-Schicht'!J$4),Berechnung!P3,"")</f>
        <v>-999</v>
      </c>
      <c r="AD4" s="121">
        <f>IF(AND($A4&gt;='Auswertung 3-Schicht'!K$3,$A4&lt;='Auswertung 3-Schicht'!K$4),Berechnung!Q3,"")</f>
        <v>-999</v>
      </c>
      <c r="AE4" s="136" t="str">
        <f>IF(AND($A4&gt;='Auswertung 3-Schicht'!D$6,$A4&lt;='Auswertung 3-Schicht'!D$7),Berechnung!C3,"")</f>
        <v/>
      </c>
      <c r="AF4" s="118" t="str">
        <f>IF(AND($A4&gt;='Auswertung 3-Schicht'!E$6,$A4&lt;='Auswertung 3-Schicht'!E$7),Berechnung!D3,"")</f>
        <v/>
      </c>
      <c r="AG4" s="118" t="str">
        <f>IF(AND($A4&gt;='Auswertung 3-Schicht'!F$6,$A4&lt;='Auswertung 3-Schicht'!F$7),Berechnung!E3,"")</f>
        <v/>
      </c>
      <c r="AH4" s="118" t="str">
        <f>IF(AND($A4&gt;='Auswertung 3-Schicht'!G$6,$A4&lt;='Auswertung 3-Schicht'!G$7),Berechnung!F3,"")</f>
        <v/>
      </c>
      <c r="AI4" s="118">
        <f>IF(AND($A4&gt;='Auswertung 3-Schicht'!H$6,$A4&lt;='Auswertung 3-Schicht'!H$7),Berechnung!K3,"")</f>
        <v>-999</v>
      </c>
      <c r="AJ4" s="118">
        <f>IF(AND($A4&gt;='Auswertung 3-Schicht'!I$6,$A4&lt;='Auswertung 3-Schicht'!I$7),Berechnung!L3,"")</f>
        <v>-999</v>
      </c>
      <c r="AK4" s="118">
        <f>IF(AND($A4&gt;='Auswertung 3-Schicht'!J$6,$A4&lt;='Auswertung 3-Schicht'!J$7),Berechnung!P3,"")</f>
        <v>-999</v>
      </c>
      <c r="AL4" s="118">
        <f>IF(AND($A4&gt;='Auswertung 3-Schicht'!K$6,$A4&lt;='Auswertung 3-Schicht'!K$7),Berechnung!Q3,"")</f>
        <v>-999</v>
      </c>
      <c r="AM4" s="120">
        <f>IF(AND($A4&gt;='Auswertung 3-Schicht'!D$10,$A4&lt;='Auswertung 3-Schicht'!D$11),Berechnung!C3,"")</f>
        <v>69.428671423749449</v>
      </c>
      <c r="AN4" s="118" t="str">
        <f>IF(AND($A4&gt;='Auswertung 3-Schicht'!E$10,$A4&lt;='Auswertung 3-Schicht'!E$11),Berechnung!D3,"")</f>
        <v/>
      </c>
      <c r="AO4" s="118">
        <f>IF(AND($A4&gt;='Auswertung 3-Schicht'!F$10,$A4&lt;='Auswertung 3-Schicht'!F$11),Berechnung!E3,"")</f>
        <v>100.91660299598189</v>
      </c>
      <c r="AP4" s="118" t="str">
        <f>IF(AND($A4&gt;='Auswertung 3-Schicht'!G$10,$A4&lt;='Auswertung 3-Schicht'!G$11),Berechnung!F3,"")</f>
        <v/>
      </c>
      <c r="AQ4" s="118">
        <f>IF(AND($A4&gt;='Auswertung 3-Schicht'!H$10,$A4&lt;='Auswertung 3-Schicht'!H$11),Berechnung!K3,"")</f>
        <v>-999</v>
      </c>
      <c r="AR4" s="118">
        <f>IF(AND($A4&gt;='Auswertung 3-Schicht'!I$10,$A4&lt;='Auswertung 3-Schicht'!I$11),Berechnung!L3,"")</f>
        <v>-999</v>
      </c>
      <c r="AS4" s="118">
        <f>IF(AND($A4&gt;='Auswertung 3-Schicht'!J$10,$A4&lt;='Auswertung 3-Schicht'!J$11),Berechnung!P3,"")</f>
        <v>-999</v>
      </c>
      <c r="AT4" s="118">
        <f>IF(AND($A4&gt;='Auswertung 3-Schicht'!K$10,$A4&lt;='Auswertung 3-Schicht'!K$11),Berechnung!Q3,"")</f>
        <v>-999</v>
      </c>
      <c r="AU4" s="82">
        <f>IF(SUM(W4:X4)=0,-999,SUM(W4:X4))</f>
        <v>-999</v>
      </c>
      <c r="AV4" s="42">
        <f t="shared" ref="AV4:BA4" si="1">IF(Y4="",-999,Y4)</f>
        <v>-999</v>
      </c>
      <c r="AW4" s="79">
        <f t="shared" si="1"/>
        <v>6.4190662186696157</v>
      </c>
      <c r="AX4" s="79">
        <f t="shared" si="1"/>
        <v>-999</v>
      </c>
      <c r="AY4" s="79">
        <f t="shared" si="1"/>
        <v>-999</v>
      </c>
      <c r="AZ4" s="42">
        <f t="shared" si="1"/>
        <v>-999</v>
      </c>
      <c r="BA4" s="83">
        <f t="shared" si="1"/>
        <v>-999</v>
      </c>
      <c r="BB4" s="80">
        <f>IF(SUM(AE4:AF4)=0,-999,SUM(AE4:AF4))</f>
        <v>-999</v>
      </c>
      <c r="BC4" s="42">
        <f t="shared" ref="BC4:BH4" si="2">IF(AG4="",-999,AG4)</f>
        <v>-999</v>
      </c>
      <c r="BD4" s="42">
        <f t="shared" si="2"/>
        <v>-999</v>
      </c>
      <c r="BE4" s="42">
        <f t="shared" si="2"/>
        <v>-999</v>
      </c>
      <c r="BF4" s="42">
        <f t="shared" si="2"/>
        <v>-999</v>
      </c>
      <c r="BG4" s="42">
        <f t="shared" si="2"/>
        <v>-999</v>
      </c>
      <c r="BH4" s="83">
        <f t="shared" si="2"/>
        <v>-999</v>
      </c>
      <c r="BI4" s="82">
        <f>IF(SUM(AM4:AN4)=0,-999,SUM(AM4:AN4))</f>
        <v>69.428671423749449</v>
      </c>
      <c r="BJ4" s="42">
        <f t="shared" ref="BJ4:BO4" si="3">IF(AO4="",-999,AO4)</f>
        <v>100.91660299598189</v>
      </c>
      <c r="BK4" s="42">
        <f t="shared" si="3"/>
        <v>-999</v>
      </c>
      <c r="BL4" s="42">
        <f t="shared" si="3"/>
        <v>-999</v>
      </c>
      <c r="BM4" s="42">
        <f t="shared" si="3"/>
        <v>-999</v>
      </c>
      <c r="BN4" s="42">
        <f t="shared" si="3"/>
        <v>-999</v>
      </c>
      <c r="BO4" s="83">
        <f t="shared" si="3"/>
        <v>-999</v>
      </c>
      <c r="BP4" s="80">
        <f>IF('Auswertung 2-Schicht'!O$4="",-999,MIN(1000*SQRT((A4+1)^2+AVERAGE(T0_Korrektur!D$1,T0_Korrektur!F$1,T0_Korrektur!H$1)^2)/'Auswertung 2-Schicht'!$O$4,'Auswertung 2-Schicht'!$O$8+1000*SQRT((A4+1)^2+AVERAGE(T0_Korrektur!D$1,T0_Korrektur!F$1,T0_Korrektur!H$1)^2)/'Auswertung 2-Schicht'!$O$7))</f>
        <v>3.7625176294030185</v>
      </c>
      <c r="BQ4" s="83">
        <f>IF('Auswertung 3-Schicht'!N$4="",-999,IF('Auswertung 3-Schicht'!N$8="",MIN(1000*SQRT((A4+1)^2+AVERAGE(T0_Korrektur!D$1,T0_Korrektur!F$1,T0_Korrektur!H$1)^2)/'Auswertung 3-Schicht'!N$4,'Auswertung 3-Schicht'!N$6+1000*SQRT((A4+1)^2+AVERAGE(T0_Korrektur!D$1,T0_Korrektur!F$1,T0_Korrektur!H$1)^2)/'Auswertung 3-Schicht'!N$5),MIN(1000*SQRT((A4+1)^2+AVERAGE(T0_Korrektur!D$1,T0_Korrektur!F$1,T0_Korrektur!H$1)^2)/'Auswertung 3-Schicht'!N$4,'Auswertung 3-Schicht'!N$6+1000*SQRT((A4+1)^2+AVERAGE(T0_Korrektur!D$1,T0_Korrektur!F$1,T0_Korrektur!H$1)^2)/'Auswertung 3-Schicht'!N$5,'Auswertung 3-Schicht'!N$9+1000*SQRT((A4+1)^2+AVERAGE(T0_Korrektur!D$1,T0_Korrektur!F$1,T0_Korrektur!H$1)^2)/'Auswertung 3-Schicht'!N$8)))</f>
        <v>3.6808476358127198</v>
      </c>
      <c r="BR4" s="82">
        <f>ABS(T0_Korrektur!C3)</f>
        <v>96.26501181633958</v>
      </c>
      <c r="BS4" s="42">
        <f>ABS(T0_Korrektur!E3)</f>
        <v>195.00656399208719</v>
      </c>
      <c r="BT4" s="42">
        <f>ABS(T0_Korrektur!I3)</f>
        <v>999</v>
      </c>
      <c r="BU4" s="79">
        <f>ABS(T0_Korrektur!M3)</f>
        <v>999</v>
      </c>
      <c r="BV4" s="120">
        <f>IF(T0_Korrektur!H3="","",T0_Korrektur!H3-Hilfsdaten!BP4)</f>
        <v>4.1472723705969816</v>
      </c>
      <c r="BW4" s="118">
        <f>IF(T0_Korrektur!D27="","",T0_Korrektur!D27-Hilfsdaten!BP4)</f>
        <v>0.26334237059698129</v>
      </c>
      <c r="BX4" s="118">
        <f>IF(T0_Korrektur!D26="","",T0_Korrektur!D26-Hilfsdaten!BP4)</f>
        <v>-0.55433762940301845</v>
      </c>
      <c r="BY4" s="118" t="str">
        <f>IF(T0_Korrektur!F56="","",T0_Korrektur!F56-Hilfsdaten!BP4)</f>
        <v/>
      </c>
      <c r="BZ4" s="120">
        <f>IF(T0_Korrektur!H3="","",T0_Korrektur!H3-Hilfsdaten!BQ4)</f>
        <v>4.2289423641872803</v>
      </c>
      <c r="CA4" s="118">
        <f>IF(T0_Korrektur!D27="","",T0_Korrektur!D27-Hilfsdaten!BQ4)</f>
        <v>0.34501236418727999</v>
      </c>
      <c r="CB4" s="118">
        <f>IF(T0_Korrektur!D26="","",T0_Korrektur!D26-Hilfsdaten!BQ4)</f>
        <v>-0.47266763581271976</v>
      </c>
      <c r="CC4" s="121" t="str">
        <f>IF(T0_Korrektur!F56="","",T0_Korrektur!F56-Hilfsdaten!BQ4)</f>
        <v/>
      </c>
      <c r="CD4" s="115"/>
    </row>
    <row r="5" spans="1:84" x14ac:dyDescent="0.2">
      <c r="A5" s="130">
        <f>'Picks importieren'!B5</f>
        <v>2.5</v>
      </c>
      <c r="B5" s="120" t="str">
        <f>IF(AND($A5&gt;='Auswertung 2-Schicht'!C$3,$A5&lt;='Auswertung 2-Schicht'!C$4),Berechnung!C4,"")</f>
        <v/>
      </c>
      <c r="C5" s="118" t="str">
        <f>IF(AND($A5&gt;='Auswertung 2-Schicht'!D$3,$A5&lt;='Auswertung 2-Schicht'!D$4),Berechnung!D4,"")</f>
        <v/>
      </c>
      <c r="D5" s="118" t="str">
        <f>IF(AND($A5&gt;='Auswertung 2-Schicht'!E$3,$A5&lt;='Auswertung 2-Schicht'!E$4),Berechnung!G4,"")</f>
        <v/>
      </c>
      <c r="E5" s="121">
        <f>IF(AND($A5&gt;='Auswertung 2-Schicht'!F$3,$A5&lt;='Auswertung 2-Schicht'!F$4),Berechnung!F4,"")</f>
        <v>12.827588529712287</v>
      </c>
      <c r="F5" s="131" t="str">
        <f>IF(AND($A5&gt;='Auswertung 2-Schicht'!H$3,$A5&lt;='Auswertung 2-Schicht'!H$4),IF('Auswertung 2-Schicht'!$H$8=1,Berechnung!I4,IF('Auswertung 2-Schicht'!$H$8=2,Berechnung!N4,Berechnung!S4)),"")</f>
        <v/>
      </c>
      <c r="G5" s="118" t="str">
        <f>IF(AND($A5&gt;='Auswertung 2-Schicht'!H$3,$A5&lt;='Auswertung 2-Schicht'!H$4),IF('Auswertung 2-Schicht'!$H$8=1,Berechnung!J4,IF('Auswertung 2-Schicht'!$H$8=2,Berechnung!O4,Berechnung!T4)),"")</f>
        <v/>
      </c>
      <c r="H5" s="118" t="str">
        <f>IF(AND($A5&gt;='Auswertung 2-Schicht'!I$3,$A5&lt;='Auswertung 2-Schicht'!I$4),Berechnung!K4,"")</f>
        <v/>
      </c>
      <c r="I5" s="132" t="str">
        <f>IF(AND($A5&gt;='Auswertung 2-Schicht'!J$3,$A5&lt;='Auswertung 2-Schicht'!J$4),Berechnung!L4,"")</f>
        <v/>
      </c>
      <c r="J5" s="118" t="str">
        <f>IF(AND($A5&gt;='Auswertung 2-Schicht'!K$3,$A5&lt;='Auswertung 2-Schicht'!K$4),Berechnung!P4,"")</f>
        <v/>
      </c>
      <c r="K5" s="134" t="str">
        <f>IF(AND($A5&gt;='Auswertung 2-Schicht'!L$3,$A5&lt;='Auswertung 2-Schicht'!L$4),Berechnung!Q4,"")</f>
        <v/>
      </c>
      <c r="L5" s="131">
        <f>IF('Auswertung 2-Schicht'!$H$8=1,Berechnung!I4,IF('Auswertung 2-Schicht'!$H$8=2,Berechnung!N4,Berechnung!S4))</f>
        <v>6.817596986280134</v>
      </c>
      <c r="M5" s="133">
        <f>IF('Auswertung 2-Schicht'!$H$8=1,Berechnung!J4,IF('Auswertung 2-Schicht'!$H$8=2,Berechnung!O4,Berechnung!T4))</f>
        <v>12.130550866884974</v>
      </c>
      <c r="N5" s="82">
        <f t="shared" ref="N5:N37" si="4">IF(SUM(B5:C5)=0,-999,SUM(B5:C5))</f>
        <v>-999</v>
      </c>
      <c r="O5" s="42">
        <f>IF(D5="",-999,D5)</f>
        <v>-999</v>
      </c>
      <c r="P5" s="83">
        <f>IF(E5="",-999,E5)</f>
        <v>12.827588529712287</v>
      </c>
      <c r="Q5" s="82">
        <f t="shared" ref="Q5:Q37" si="5">IF(F5="",-999,F5)</f>
        <v>-999</v>
      </c>
      <c r="R5" s="42">
        <f t="shared" ref="R5:R37" si="6">IF(G5="",-999,G5)</f>
        <v>-999</v>
      </c>
      <c r="S5" s="42">
        <f t="shared" ref="S5:S37" si="7">IF(H5="",-999,H5)</f>
        <v>-999</v>
      </c>
      <c r="T5" s="42">
        <f t="shared" ref="T5:T37" si="8">IF(I5="",-999,I5)</f>
        <v>-999</v>
      </c>
      <c r="U5" s="42">
        <f t="shared" ref="U5:U37" si="9">IF(J5="",-999,J5)</f>
        <v>-999</v>
      </c>
      <c r="V5" s="109">
        <f t="shared" ref="V5:V37" si="10">IF(K5="",-999,K5)</f>
        <v>-999</v>
      </c>
      <c r="W5" s="120" t="str">
        <f>IF(AND($A5&gt;='Auswertung 3-Schicht'!D$3,$A5&lt;='Auswertung 3-Schicht'!D$4),Berechnung!C4,"")</f>
        <v/>
      </c>
      <c r="X5" s="118" t="str">
        <f>IF(AND($A5&gt;='Auswertung 3-Schicht'!E$3,$A5&lt;='Auswertung 3-Schicht'!E$4),Berechnung!D4,"")</f>
        <v/>
      </c>
      <c r="Y5" s="118" t="str">
        <f>IF(AND($A5&gt;='Auswertung 3-Schicht'!F$3,$A5&lt;='Auswertung 3-Schicht'!F$4),Berechnung!E4,"")</f>
        <v/>
      </c>
      <c r="Z5" s="132">
        <f>IF(AND($A5&gt;='Auswertung 3-Schicht'!G$3,$A5&lt;='Auswertung 3-Schicht'!G$4),Berechnung!F4,"")</f>
        <v>12.827588529712287</v>
      </c>
      <c r="AA5" s="118" t="str">
        <f>IF(AND($A5&gt;='Auswertung 3-Schicht'!H$3,$A5&lt;='Auswertung 3-Schicht'!H$4),Berechnung!K4,"")</f>
        <v/>
      </c>
      <c r="AB5" s="134" t="str">
        <f>IF(AND($A5&gt;='Auswertung 3-Schicht'!I$3,$A5&lt;='Auswertung 3-Schicht'!I$4),Berechnung!L4,"")</f>
        <v/>
      </c>
      <c r="AC5" s="118" t="str">
        <f>IF(AND($A5&gt;='Auswertung 3-Schicht'!J$3,$A5&lt;='Auswertung 3-Schicht'!J$4),Berechnung!P4,"")</f>
        <v/>
      </c>
      <c r="AD5" s="121" t="str">
        <f>IF(AND($A5&gt;='Auswertung 3-Schicht'!K$3,$A5&lt;='Auswertung 3-Schicht'!K$4),Berechnung!Q4,"")</f>
        <v/>
      </c>
      <c r="AE5" s="136" t="str">
        <f>IF(AND($A5&gt;='Auswertung 3-Schicht'!D$6,$A5&lt;='Auswertung 3-Schicht'!D$7),Berechnung!C4,"")</f>
        <v/>
      </c>
      <c r="AF5" s="118" t="str">
        <f>IF(AND($A5&gt;='Auswertung 3-Schicht'!E$6,$A5&lt;='Auswertung 3-Schicht'!E$7),Berechnung!D4,"")</f>
        <v/>
      </c>
      <c r="AG5" s="118" t="str">
        <f>IF(AND($A5&gt;='Auswertung 3-Schicht'!F$6,$A5&lt;='Auswertung 3-Schicht'!F$7),Berechnung!E4,"")</f>
        <v/>
      </c>
      <c r="AH5" s="118" t="str">
        <f>IF(AND($A5&gt;='Auswertung 3-Schicht'!G$6,$A5&lt;='Auswertung 3-Schicht'!G$7),Berechnung!F4,"")</f>
        <v/>
      </c>
      <c r="AI5" s="118" t="str">
        <f>IF(AND($A5&gt;='Auswertung 3-Schicht'!H$6,$A5&lt;='Auswertung 3-Schicht'!H$7),Berechnung!K4,"")</f>
        <v/>
      </c>
      <c r="AJ5" s="118" t="str">
        <f>IF(AND($A5&gt;='Auswertung 3-Schicht'!I$6,$A5&lt;='Auswertung 3-Schicht'!I$7),Berechnung!L4,"")</f>
        <v/>
      </c>
      <c r="AK5" s="118" t="str">
        <f>IF(AND($A5&gt;='Auswertung 3-Schicht'!J$6,$A5&lt;='Auswertung 3-Schicht'!J$7),Berechnung!P4,"")</f>
        <v/>
      </c>
      <c r="AL5" s="118" t="str">
        <f>IF(AND($A5&gt;='Auswertung 3-Schicht'!K$6,$A5&lt;='Auswertung 3-Schicht'!K$7),Berechnung!Q4,"")</f>
        <v/>
      </c>
      <c r="AM5" s="120">
        <f>IF(AND($A5&gt;='Auswertung 3-Schicht'!D$10,$A5&lt;='Auswertung 3-Schicht'!D$11),Berechnung!C4,"")</f>
        <v>68.814987134317761</v>
      </c>
      <c r="AN5" s="118" t="str">
        <f>IF(AND($A5&gt;='Auswertung 3-Schicht'!E$10,$A5&lt;='Auswertung 3-Schicht'!E$11),Berechnung!D4,"")</f>
        <v/>
      </c>
      <c r="AO5" s="118">
        <f>IF(AND($A5&gt;='Auswertung 3-Schicht'!F$10,$A5&lt;='Auswertung 3-Schicht'!F$11),Berechnung!E4,"")</f>
        <v>100.50752832074443</v>
      </c>
      <c r="AP5" s="118" t="str">
        <f>IF(AND($A5&gt;='Auswertung 3-Schicht'!G$10,$A5&lt;='Auswertung 3-Schicht'!G$11),Berechnung!F4,"")</f>
        <v/>
      </c>
      <c r="AQ5" s="118" t="str">
        <f>IF(AND($A5&gt;='Auswertung 3-Schicht'!H$10,$A5&lt;='Auswertung 3-Schicht'!H$11),Berechnung!K4,"")</f>
        <v/>
      </c>
      <c r="AR5" s="118" t="str">
        <f>IF(AND($A5&gt;='Auswertung 3-Schicht'!I$10,$A5&lt;='Auswertung 3-Schicht'!I$11),Berechnung!L4,"")</f>
        <v/>
      </c>
      <c r="AS5" s="118" t="str">
        <f>IF(AND($A5&gt;='Auswertung 3-Schicht'!J$10,$A5&lt;='Auswertung 3-Schicht'!J$11),Berechnung!P4,"")</f>
        <v/>
      </c>
      <c r="AT5" s="118" t="str">
        <f>IF(AND($A5&gt;='Auswertung 3-Schicht'!K$10,$A5&lt;='Auswertung 3-Schicht'!K$11),Berechnung!Q4,"")</f>
        <v/>
      </c>
      <c r="AU5" s="82">
        <f t="shared" ref="AU5:AU51" si="11">IF(SUM(W5:X5)=0,-999,SUM(W5:X5))</f>
        <v>-999</v>
      </c>
      <c r="AV5" s="42">
        <f t="shared" ref="AV5:AV51" si="12">IF(Y5="",-999,Y5)</f>
        <v>-999</v>
      </c>
      <c r="AW5" s="79">
        <f t="shared" ref="AW5:AW51" si="13">IF(Z5="",-999,Z5)</f>
        <v>12.827588529712287</v>
      </c>
      <c r="AX5" s="79">
        <f t="shared" ref="AX5:AX51" si="14">IF(AA5="",-999,AA5)</f>
        <v>-999</v>
      </c>
      <c r="AY5" s="79">
        <f t="shared" ref="AY5:AY51" si="15">IF(AB5="",-999,AB5)</f>
        <v>-999</v>
      </c>
      <c r="AZ5" s="42">
        <f t="shared" ref="AZ5:AZ51" si="16">IF(AC5="",-999,AC5)</f>
        <v>-999</v>
      </c>
      <c r="BA5" s="83">
        <f t="shared" ref="BA5:BA51" si="17">IF(AD5="",-999,AD5)</f>
        <v>-999</v>
      </c>
      <c r="BB5" s="80">
        <f t="shared" ref="BB5:BB51" si="18">IF(SUM(AE5:AF5)=0,-999,SUM(AE5:AF5))</f>
        <v>-999</v>
      </c>
      <c r="BC5" s="42">
        <f t="shared" ref="BC5:BC51" si="19">IF(AG5="",-999,AG5)</f>
        <v>-999</v>
      </c>
      <c r="BD5" s="42">
        <f t="shared" ref="BD5:BD51" si="20">IF(AH5="",-999,AH5)</f>
        <v>-999</v>
      </c>
      <c r="BE5" s="42">
        <f t="shared" ref="BE5:BE51" si="21">IF(AI5="",-999,AI5)</f>
        <v>-999</v>
      </c>
      <c r="BF5" s="42">
        <f t="shared" ref="BF5:BF51" si="22">IF(AJ5="",-999,AJ5)</f>
        <v>-999</v>
      </c>
      <c r="BG5" s="42">
        <f t="shared" ref="BG5:BG51" si="23">IF(AK5="",-999,AK5)</f>
        <v>-999</v>
      </c>
      <c r="BH5" s="83">
        <f t="shared" ref="BH5:BH51" si="24">IF(AL5="",-999,AL5)</f>
        <v>-999</v>
      </c>
      <c r="BI5" s="82">
        <f t="shared" ref="BI5:BI51" si="25">IF(SUM(AM5:AN5)=0,-999,SUM(AM5:AN5))</f>
        <v>68.814987134317761</v>
      </c>
      <c r="BJ5" s="42">
        <f t="shared" ref="BJ5:BJ51" si="26">IF(AO5="",-999,AO5)</f>
        <v>100.50752832074443</v>
      </c>
      <c r="BK5" s="42">
        <f t="shared" ref="BK5:BK51" si="27">IF(AP5="",-999,AP5)</f>
        <v>-999</v>
      </c>
      <c r="BL5" s="42">
        <f t="shared" ref="BL5:BL51" si="28">IF(AQ5="",-999,AQ5)</f>
        <v>-999</v>
      </c>
      <c r="BM5" s="42">
        <f t="shared" ref="BM5:BM51" si="29">IF(AR5="",-999,AR5)</f>
        <v>-999</v>
      </c>
      <c r="BN5" s="42">
        <f t="shared" ref="BN5:BN51" si="30">IF(AS5="",-999,AS5)</f>
        <v>-999</v>
      </c>
      <c r="BO5" s="83">
        <f t="shared" ref="BO5:BO51" si="31">IF(AT5="",-999,AT5)</f>
        <v>-999</v>
      </c>
      <c r="BP5" s="80">
        <f>IF('Auswertung 2-Schicht'!O$4="",-999,MIN(1000*SQRT((A5+1)^2+AVERAGE(T0_Korrektur!D$1,T0_Korrektur!F$1,T0_Korrektur!H$1)^2)/'Auswertung 2-Schicht'!$O$4,'Auswertung 2-Schicht'!$O$8+1000*SQRT((A5+1)^2+AVERAGE(T0_Korrektur!D$1,T0_Korrektur!F$1,T0_Korrektur!H$1)^2)/'Auswertung 2-Schicht'!$O$7))</f>
        <v>7.4227815641708865</v>
      </c>
      <c r="BQ5" s="83">
        <f>IF('Auswertung 3-Schicht'!N$4="",-999,IF('Auswertung 3-Schicht'!N$8="",MIN(1000*SQRT((A5+1)^2+AVERAGE(T0_Korrektur!D$1,T0_Korrektur!F$1,T0_Korrektur!H$1)^2)/'Auswertung 3-Schicht'!N$4,'Auswertung 3-Schicht'!N$6+1000*SQRT((A5+1)^2+AVERAGE(T0_Korrektur!D$1,T0_Korrektur!F$1,T0_Korrektur!H$1)^2)/'Auswertung 3-Schicht'!N$5),MIN(1000*SQRT((A5+1)^2+AVERAGE(T0_Korrektur!D$1,T0_Korrektur!F$1,T0_Korrektur!H$1)^2)/'Auswertung 3-Schicht'!N$4,'Auswertung 3-Schicht'!N$6+1000*SQRT((A5+1)^2+AVERAGE(T0_Korrektur!D$1,T0_Korrektur!F$1,T0_Korrektur!H$1)^2)/'Auswertung 3-Schicht'!N$5,'Auswertung 3-Schicht'!N$9+1000*SQRT((A5+1)^2+AVERAGE(T0_Korrektur!D$1,T0_Korrektur!F$1,T0_Korrektur!H$1)^2)/'Auswertung 3-Schicht'!N$8)))</f>
        <v>7.2616611170451115</v>
      </c>
      <c r="BR5" s="82">
        <f>ABS(T0_Korrektur!C4)</f>
        <v>93.765412066497092</v>
      </c>
      <c r="BS5" s="42">
        <f>ABS(T0_Korrektur!E4)</f>
        <v>192.50664923581212</v>
      </c>
      <c r="BT5" s="42">
        <f>ABS(T0_Korrektur!I4)</f>
        <v>999</v>
      </c>
      <c r="BU5" s="79">
        <f>ABS(T0_Korrektur!M4)</f>
        <v>999</v>
      </c>
      <c r="BV5" s="120">
        <f>IF(T0_Korrektur!H4="","",T0_Korrektur!H4-Hilfsdaten!BP5)</f>
        <v>6.2107184358291132</v>
      </c>
      <c r="BW5" s="118">
        <f>IF(T0_Korrektur!D28="","",T0_Korrektur!D28-Hilfsdaten!BP5)</f>
        <v>1.7135184358291138</v>
      </c>
      <c r="BX5" s="118">
        <f>IF(T0_Korrektur!D25="","",T0_Korrektur!D25-Hilfsdaten!BP5)</f>
        <v>0.6914284358291134</v>
      </c>
      <c r="BY5" s="118" t="str">
        <f>IF(T0_Korrektur!F55="","",T0_Korrektur!F55-Hilfsdaten!BP5)</f>
        <v/>
      </c>
      <c r="BZ5" s="120">
        <f>IF(T0_Korrektur!H4="","",T0_Korrektur!H4-Hilfsdaten!BQ5)</f>
        <v>6.3718388829548882</v>
      </c>
      <c r="CA5" s="118">
        <f>IF(T0_Korrektur!D28="","",T0_Korrektur!D28-Hilfsdaten!BQ5)</f>
        <v>1.8746388829548888</v>
      </c>
      <c r="CB5" s="118">
        <f>IF(T0_Korrektur!D25="","",T0_Korrektur!D25-Hilfsdaten!BQ5)</f>
        <v>0.8525488829548884</v>
      </c>
      <c r="CC5" s="121" t="str">
        <f>IF(T0_Korrektur!F55="","",T0_Korrektur!F55-Hilfsdaten!BQ5)</f>
        <v/>
      </c>
      <c r="CD5" s="115"/>
    </row>
    <row r="6" spans="1:84" x14ac:dyDescent="0.2">
      <c r="A6" s="130">
        <f>'Picks importieren'!B6</f>
        <v>5</v>
      </c>
      <c r="B6" s="120" t="str">
        <f>IF(AND($A6&gt;='Auswertung 2-Schicht'!C$3,$A6&lt;='Auswertung 2-Schicht'!C$4),Berechnung!C5,"")</f>
        <v/>
      </c>
      <c r="C6" s="118" t="str">
        <f>IF(AND($A6&gt;='Auswertung 2-Schicht'!D$3,$A6&lt;='Auswertung 2-Schicht'!D$4),Berechnung!D5,"")</f>
        <v/>
      </c>
      <c r="D6" s="118" t="str">
        <f>IF(AND($A6&gt;='Auswertung 2-Schicht'!E$3,$A6&lt;='Auswertung 2-Schicht'!E$4),Berechnung!G5,"")</f>
        <v/>
      </c>
      <c r="E6" s="121">
        <f>IF(AND($A6&gt;='Auswertung 2-Schicht'!F$3,$A6&lt;='Auswertung 2-Schicht'!F$4),Berechnung!F5,"")</f>
        <v>17.992276726005908</v>
      </c>
      <c r="F6" s="131" t="str">
        <f>IF(AND($A6&gt;='Auswertung 2-Schicht'!H$3,$A6&lt;='Auswertung 2-Schicht'!H$4),IF('Auswertung 2-Schicht'!$H$8=1,Berechnung!I5,IF('Auswertung 2-Schicht'!$H$8=2,Berechnung!N5,Berechnung!S5)),"")</f>
        <v/>
      </c>
      <c r="G6" s="118" t="str">
        <f>IF(AND($A6&gt;='Auswertung 2-Schicht'!H$3,$A6&lt;='Auswertung 2-Schicht'!H$4),IF('Auswertung 2-Schicht'!$H$8=1,Berechnung!J5,IF('Auswertung 2-Schicht'!$H$8=2,Berechnung!O5,Berechnung!T5)),"")</f>
        <v/>
      </c>
      <c r="H6" s="118" t="str">
        <f>IF(AND($A6&gt;='Auswertung 2-Schicht'!I$3,$A6&lt;='Auswertung 2-Schicht'!I$4),Berechnung!K5,"")</f>
        <v/>
      </c>
      <c r="I6" s="132" t="str">
        <f>IF(AND($A6&gt;='Auswertung 2-Schicht'!J$3,$A6&lt;='Auswertung 2-Schicht'!J$4),Berechnung!L5,"")</f>
        <v/>
      </c>
      <c r="J6" s="118" t="str">
        <f>IF(AND($A6&gt;='Auswertung 2-Schicht'!K$3,$A6&lt;='Auswertung 2-Schicht'!K$4),Berechnung!P5,"")</f>
        <v/>
      </c>
      <c r="K6" s="134" t="str">
        <f>IF(AND($A6&gt;='Auswertung 2-Schicht'!L$3,$A6&lt;='Auswertung 2-Schicht'!L$4),Berechnung!Q5,"")</f>
        <v/>
      </c>
      <c r="L6" s="131">
        <f>IF('Auswertung 2-Schicht'!$H$8=1,Berechnung!I5,IF('Auswertung 2-Schicht'!$H$8=2,Berechnung!N5,Berechnung!S5))</f>
        <v>12.391362637548166</v>
      </c>
      <c r="M6" s="133">
        <f>IF('Auswertung 2-Schicht'!$H$8=1,Berechnung!J5,IF('Auswertung 2-Schicht'!$H$8=2,Berechnung!O5,Berechnung!T5))</f>
        <v>16.886161608204191</v>
      </c>
      <c r="N6" s="82">
        <f t="shared" si="4"/>
        <v>-999</v>
      </c>
      <c r="O6" s="42">
        <f t="shared" ref="O6:O37" si="32">IF(D6="",-999,D6)</f>
        <v>-999</v>
      </c>
      <c r="P6" s="83">
        <f t="shared" ref="P6:P37" si="33">IF(E6="",-999,E6)</f>
        <v>17.992276726005908</v>
      </c>
      <c r="Q6" s="82">
        <f t="shared" si="5"/>
        <v>-999</v>
      </c>
      <c r="R6" s="42">
        <f t="shared" si="6"/>
        <v>-999</v>
      </c>
      <c r="S6" s="42">
        <f t="shared" si="7"/>
        <v>-999</v>
      </c>
      <c r="T6" s="42">
        <f t="shared" si="8"/>
        <v>-999</v>
      </c>
      <c r="U6" s="42">
        <f t="shared" si="9"/>
        <v>-999</v>
      </c>
      <c r="V6" s="109">
        <f t="shared" si="10"/>
        <v>-999</v>
      </c>
      <c r="W6" s="120" t="str">
        <f>IF(AND($A6&gt;='Auswertung 3-Schicht'!D$3,$A6&lt;='Auswertung 3-Schicht'!D$4),Berechnung!C5,"")</f>
        <v/>
      </c>
      <c r="X6" s="118" t="str">
        <f>IF(AND($A6&gt;='Auswertung 3-Schicht'!E$3,$A6&lt;='Auswertung 3-Schicht'!E$4),Berechnung!D5,"")</f>
        <v/>
      </c>
      <c r="Y6" s="118" t="str">
        <f>IF(AND($A6&gt;='Auswertung 3-Schicht'!F$3,$A6&lt;='Auswertung 3-Schicht'!F$4),Berechnung!E5,"")</f>
        <v/>
      </c>
      <c r="Z6" s="132">
        <f>IF(AND($A6&gt;='Auswertung 3-Schicht'!G$3,$A6&lt;='Auswertung 3-Schicht'!G$4),Berechnung!F5,"")</f>
        <v>17.992276726005908</v>
      </c>
      <c r="AA6" s="118" t="str">
        <f>IF(AND($A6&gt;='Auswertung 3-Schicht'!H$3,$A6&lt;='Auswertung 3-Schicht'!H$4),Berechnung!K5,"")</f>
        <v/>
      </c>
      <c r="AB6" s="134" t="str">
        <f>IF(AND($A6&gt;='Auswertung 3-Schicht'!I$3,$A6&lt;='Auswertung 3-Schicht'!I$4),Berechnung!L5,"")</f>
        <v/>
      </c>
      <c r="AC6" s="118" t="str">
        <f>IF(AND($A6&gt;='Auswertung 3-Schicht'!J$3,$A6&lt;='Auswertung 3-Schicht'!J$4),Berechnung!P5,"")</f>
        <v/>
      </c>
      <c r="AD6" s="121" t="str">
        <f>IF(AND($A6&gt;='Auswertung 3-Schicht'!K$3,$A6&lt;='Auswertung 3-Schicht'!K$4),Berechnung!Q5,"")</f>
        <v/>
      </c>
      <c r="AE6" s="136" t="str">
        <f>IF(AND($A6&gt;='Auswertung 3-Schicht'!D$6,$A6&lt;='Auswertung 3-Schicht'!D$7),Berechnung!C5,"")</f>
        <v/>
      </c>
      <c r="AF6" s="118" t="str">
        <f>IF(AND($A6&gt;='Auswertung 3-Schicht'!E$6,$A6&lt;='Auswertung 3-Schicht'!E$7),Berechnung!D5,"")</f>
        <v/>
      </c>
      <c r="AG6" s="118" t="str">
        <f>IF(AND($A6&gt;='Auswertung 3-Schicht'!F$6,$A6&lt;='Auswertung 3-Schicht'!F$7),Berechnung!E5,"")</f>
        <v/>
      </c>
      <c r="AH6" s="118" t="str">
        <f>IF(AND($A6&gt;='Auswertung 3-Schicht'!G$6,$A6&lt;='Auswertung 3-Schicht'!G$7),Berechnung!F5,"")</f>
        <v/>
      </c>
      <c r="AI6" s="118" t="str">
        <f>IF(AND($A6&gt;='Auswertung 3-Schicht'!H$6,$A6&lt;='Auswertung 3-Schicht'!H$7),Berechnung!K5,"")</f>
        <v/>
      </c>
      <c r="AJ6" s="118" t="str">
        <f>IF(AND($A6&gt;='Auswertung 3-Schicht'!I$6,$A6&lt;='Auswertung 3-Schicht'!I$7),Berechnung!L5,"")</f>
        <v/>
      </c>
      <c r="AK6" s="118" t="str">
        <f>IF(AND($A6&gt;='Auswertung 3-Schicht'!J$6,$A6&lt;='Auswertung 3-Schicht'!J$7),Berechnung!P5,"")</f>
        <v/>
      </c>
      <c r="AL6" s="118" t="str">
        <f>IF(AND($A6&gt;='Auswertung 3-Schicht'!K$6,$A6&lt;='Auswertung 3-Schicht'!K$7),Berechnung!Q5,"")</f>
        <v/>
      </c>
      <c r="AM6" s="120">
        <f>IF(AND($A6&gt;='Auswertung 3-Schicht'!D$10,$A6&lt;='Auswertung 3-Schicht'!D$11),Berechnung!C5,"")</f>
        <v>67.996800790788086</v>
      </c>
      <c r="AN6" s="118" t="str">
        <f>IF(AND($A6&gt;='Auswertung 3-Schicht'!E$10,$A6&lt;='Auswertung 3-Schicht'!E$11),Berechnung!D5,"")</f>
        <v/>
      </c>
      <c r="AO6" s="118">
        <f>IF(AND($A6&gt;='Auswertung 3-Schicht'!F$10,$A6&lt;='Auswertung 3-Schicht'!F$11),Berechnung!E5,"")</f>
        <v>100.09845086577002</v>
      </c>
      <c r="AP6" s="118" t="str">
        <f>IF(AND($A6&gt;='Auswertung 3-Schicht'!G$10,$A6&lt;='Auswertung 3-Schicht'!G$11),Berechnung!F5,"")</f>
        <v/>
      </c>
      <c r="AQ6" s="118" t="str">
        <f>IF(AND($A6&gt;='Auswertung 3-Schicht'!H$10,$A6&lt;='Auswertung 3-Schicht'!H$11),Berechnung!K5,"")</f>
        <v/>
      </c>
      <c r="AR6" s="118" t="str">
        <f>IF(AND($A6&gt;='Auswertung 3-Schicht'!I$10,$A6&lt;='Auswertung 3-Schicht'!I$11),Berechnung!L5,"")</f>
        <v/>
      </c>
      <c r="AS6" s="118" t="str">
        <f>IF(AND($A6&gt;='Auswertung 3-Schicht'!J$10,$A6&lt;='Auswertung 3-Schicht'!J$11),Berechnung!P5,"")</f>
        <v/>
      </c>
      <c r="AT6" s="118" t="str">
        <f>IF(AND($A6&gt;='Auswertung 3-Schicht'!K$10,$A6&lt;='Auswertung 3-Schicht'!K$11),Berechnung!Q5,"")</f>
        <v/>
      </c>
      <c r="AU6" s="82">
        <f t="shared" si="11"/>
        <v>-999</v>
      </c>
      <c r="AV6" s="42">
        <f t="shared" si="12"/>
        <v>-999</v>
      </c>
      <c r="AW6" s="79">
        <f t="shared" si="13"/>
        <v>17.992276726005908</v>
      </c>
      <c r="AX6" s="79">
        <f t="shared" si="14"/>
        <v>-999</v>
      </c>
      <c r="AY6" s="79">
        <f t="shared" si="15"/>
        <v>-999</v>
      </c>
      <c r="AZ6" s="42">
        <f t="shared" si="16"/>
        <v>-999</v>
      </c>
      <c r="BA6" s="83">
        <f t="shared" si="17"/>
        <v>-999</v>
      </c>
      <c r="BB6" s="80">
        <f t="shared" si="18"/>
        <v>-999</v>
      </c>
      <c r="BC6" s="42">
        <f t="shared" si="19"/>
        <v>-999</v>
      </c>
      <c r="BD6" s="42">
        <f t="shared" si="20"/>
        <v>-999</v>
      </c>
      <c r="BE6" s="42">
        <f t="shared" si="21"/>
        <v>-999</v>
      </c>
      <c r="BF6" s="42">
        <f t="shared" si="22"/>
        <v>-999</v>
      </c>
      <c r="BG6" s="42">
        <f t="shared" si="23"/>
        <v>-999</v>
      </c>
      <c r="BH6" s="83">
        <f t="shared" si="24"/>
        <v>-999</v>
      </c>
      <c r="BI6" s="82">
        <f t="shared" si="25"/>
        <v>67.996800790788086</v>
      </c>
      <c r="BJ6" s="42">
        <f t="shared" si="26"/>
        <v>100.09845086577002</v>
      </c>
      <c r="BK6" s="42">
        <f t="shared" si="27"/>
        <v>-999</v>
      </c>
      <c r="BL6" s="42">
        <f t="shared" si="28"/>
        <v>-999</v>
      </c>
      <c r="BM6" s="42">
        <f t="shared" si="29"/>
        <v>-999</v>
      </c>
      <c r="BN6" s="42">
        <f t="shared" si="30"/>
        <v>-999</v>
      </c>
      <c r="BO6" s="83">
        <f t="shared" si="31"/>
        <v>-999</v>
      </c>
      <c r="BP6" s="80">
        <f>IF('Auswertung 2-Schicht'!O$4="",-999,MIN(1000*SQRT((A6+1)^2+AVERAGE(T0_Korrektur!D$1,T0_Korrektur!F$1,T0_Korrektur!H$1)^2)/'Auswertung 2-Schicht'!$O$4,'Auswertung 2-Schicht'!$O$8+1000*SQRT((A6+1)^2+AVERAGE(T0_Korrektur!D$1,T0_Korrektur!F$1,T0_Korrektur!H$1)^2)/'Auswertung 2-Schicht'!$O$7))</f>
        <v>11.89659602511605</v>
      </c>
      <c r="BQ6" s="83">
        <f>IF('Auswertung 3-Schicht'!N$4="",-999,IF('Auswertung 3-Schicht'!N$8="",MIN(1000*SQRT((A6+1)^2+AVERAGE(T0_Korrektur!D$1,T0_Korrektur!F$1,T0_Korrektur!H$1)^2)/'Auswertung 3-Schicht'!N$4,'Auswertung 3-Schicht'!N$6+1000*SQRT((A6+1)^2+AVERAGE(T0_Korrektur!D$1,T0_Korrektur!F$1,T0_Korrektur!H$1)^2)/'Auswertung 3-Schicht'!N$5),MIN(1000*SQRT((A6+1)^2+AVERAGE(T0_Korrektur!D$1,T0_Korrektur!F$1,T0_Korrektur!H$1)^2)/'Auswertung 3-Schicht'!N$4,'Auswertung 3-Schicht'!N$6+1000*SQRT((A6+1)^2+AVERAGE(T0_Korrektur!D$1,T0_Korrektur!F$1,T0_Korrektur!H$1)^2)/'Auswertung 3-Schicht'!N$5,'Auswertung 3-Schicht'!N$9+1000*SQRT((A6+1)^2+AVERAGE(T0_Korrektur!D$1,T0_Korrektur!F$1,T0_Korrektur!H$1)^2)/'Auswertung 3-Schicht'!N$8)))</f>
        <v>11.638366026796612</v>
      </c>
      <c r="BR6" s="82">
        <f>ABS(T0_Korrektur!C5)</f>
        <v>91.265834242612385</v>
      </c>
      <c r="BS6" s="42">
        <f>ABS(T0_Korrektur!E5)</f>
        <v>190.00673672267519</v>
      </c>
      <c r="BT6" s="42">
        <f>ABS(T0_Korrektur!I5)</f>
        <v>999</v>
      </c>
      <c r="BU6" s="79">
        <f>ABS(T0_Korrektur!M5)</f>
        <v>999</v>
      </c>
      <c r="BV6" s="120">
        <f>IF(T0_Korrektur!H5="","",T0_Korrektur!H5-Hilfsdaten!BP6)</f>
        <v>6.6066039748839493</v>
      </c>
      <c r="BW6" s="118">
        <f>IF(T0_Korrektur!D29="","",T0_Korrektur!D29-Hilfsdaten!BP6)</f>
        <v>1.9413039748839491</v>
      </c>
      <c r="BX6" s="118">
        <f>IF(T0_Korrektur!D24="","",T0_Korrektur!D24-Hilfsdaten!BP6)</f>
        <v>1.32810397488395</v>
      </c>
      <c r="BY6" s="118" t="str">
        <f>IF(T0_Korrektur!F54="","",T0_Korrektur!F54-Hilfsdaten!BP6)</f>
        <v/>
      </c>
      <c r="BZ6" s="120">
        <f>IF(T0_Korrektur!H5="","",T0_Korrektur!H5-Hilfsdaten!BQ6)</f>
        <v>6.8648339732033872</v>
      </c>
      <c r="CA6" s="118">
        <f>IF(T0_Korrektur!D29="","",T0_Korrektur!D29-Hilfsdaten!BQ6)</f>
        <v>2.1995339732033869</v>
      </c>
      <c r="CB6" s="118">
        <f>IF(T0_Korrektur!D24="","",T0_Korrektur!D24-Hilfsdaten!BQ6)</f>
        <v>1.5863339732033879</v>
      </c>
      <c r="CC6" s="121" t="str">
        <f>IF(T0_Korrektur!F54="","",T0_Korrektur!F54-Hilfsdaten!BQ6)</f>
        <v/>
      </c>
      <c r="CD6" s="115"/>
    </row>
    <row r="7" spans="1:84" x14ac:dyDescent="0.2">
      <c r="A7" s="130">
        <f>'Picks importieren'!B7</f>
        <v>7.5</v>
      </c>
      <c r="B7" s="120" t="str">
        <f>IF(AND($A7&gt;='Auswertung 2-Schicht'!C$3,$A7&lt;='Auswertung 2-Schicht'!C$4),Berechnung!C6,"")</f>
        <v/>
      </c>
      <c r="C7" s="118" t="str">
        <f>IF(AND($A7&gt;='Auswertung 2-Schicht'!D$3,$A7&lt;='Auswertung 2-Schicht'!D$4),Berechnung!D6,"")</f>
        <v/>
      </c>
      <c r="D7" s="118" t="str">
        <f>IF(AND($A7&gt;='Auswertung 2-Schicht'!E$3,$A7&lt;='Auswertung 2-Schicht'!E$4),Berechnung!G6,"")</f>
        <v/>
      </c>
      <c r="E7" s="121">
        <f>IF(AND($A7&gt;='Auswertung 2-Schicht'!F$3,$A7&lt;='Auswertung 2-Schicht'!F$4),Berechnung!F6,"")</f>
        <v>23.251035773881362</v>
      </c>
      <c r="F7" s="131" t="str">
        <f>IF(AND($A7&gt;='Auswertung 2-Schicht'!H$3,$A7&lt;='Auswertung 2-Schicht'!H$4),IF('Auswertung 2-Schicht'!$H$8=1,Berechnung!I6,IF('Auswertung 2-Schicht'!$H$8=2,Berechnung!N6,Berechnung!S6)),"")</f>
        <v/>
      </c>
      <c r="G7" s="118" t="str">
        <f>IF(AND($A7&gt;='Auswertung 2-Schicht'!H$3,$A7&lt;='Auswertung 2-Schicht'!H$4),IF('Auswertung 2-Schicht'!$H$8=1,Berechnung!J6,IF('Auswertung 2-Schicht'!$H$8=2,Berechnung!O6,Berechnung!T6)),"")</f>
        <v/>
      </c>
      <c r="H7" s="118" t="str">
        <f>IF(AND($A7&gt;='Auswertung 2-Schicht'!I$3,$A7&lt;='Auswertung 2-Schicht'!I$4),Berechnung!K6,"")</f>
        <v/>
      </c>
      <c r="I7" s="132" t="str">
        <f>IF(AND($A7&gt;='Auswertung 2-Schicht'!J$3,$A7&lt;='Auswertung 2-Schicht'!J$4),Berechnung!L6,"")</f>
        <v/>
      </c>
      <c r="J7" s="118" t="str">
        <f>IF(AND($A7&gt;='Auswertung 2-Schicht'!K$3,$A7&lt;='Auswertung 2-Schicht'!K$4),Berechnung!P6,"")</f>
        <v/>
      </c>
      <c r="K7" s="134" t="str">
        <f>IF(AND($A7&gt;='Auswertung 2-Schicht'!L$3,$A7&lt;='Auswertung 2-Schicht'!L$4),Berechnung!Q6,"")</f>
        <v/>
      </c>
      <c r="L7" s="131">
        <f>IF('Auswertung 2-Schicht'!$H$8=1,Berechnung!I6,IF('Auswertung 2-Schicht'!$H$8=2,Berechnung!N6,Berechnung!S6))</f>
        <v>18.467687192116141</v>
      </c>
      <c r="M7" s="133">
        <f>IF('Auswertung 2-Schicht'!$H$8=1,Berechnung!J6,IF('Auswertung 2-Schicht'!$H$8=2,Berechnung!O6,Berechnung!T6))</f>
        <v>21.327355149387131</v>
      </c>
      <c r="N7" s="82">
        <f t="shared" si="4"/>
        <v>-999</v>
      </c>
      <c r="O7" s="42">
        <f t="shared" si="32"/>
        <v>-999</v>
      </c>
      <c r="P7" s="83">
        <f t="shared" si="33"/>
        <v>23.251035773881362</v>
      </c>
      <c r="Q7" s="82">
        <f t="shared" si="5"/>
        <v>-999</v>
      </c>
      <c r="R7" s="42">
        <f t="shared" si="6"/>
        <v>-999</v>
      </c>
      <c r="S7" s="42">
        <f>IF(H7="",-999,H7)</f>
        <v>-999</v>
      </c>
      <c r="T7" s="42">
        <f t="shared" si="8"/>
        <v>-999</v>
      </c>
      <c r="U7" s="42">
        <f t="shared" si="9"/>
        <v>-999</v>
      </c>
      <c r="V7" s="109">
        <f t="shared" si="10"/>
        <v>-999</v>
      </c>
      <c r="W7" s="120" t="str">
        <f>IF(AND($A7&gt;='Auswertung 3-Schicht'!D$3,$A7&lt;='Auswertung 3-Schicht'!D$4),Berechnung!C6,"")</f>
        <v/>
      </c>
      <c r="X7" s="118" t="str">
        <f>IF(AND($A7&gt;='Auswertung 3-Schicht'!E$3,$A7&lt;='Auswertung 3-Schicht'!E$4),Berechnung!D6,"")</f>
        <v/>
      </c>
      <c r="Y7" s="118" t="str">
        <f>IF(AND($A7&gt;='Auswertung 3-Schicht'!F$3,$A7&lt;='Auswertung 3-Schicht'!F$4),Berechnung!E6,"")</f>
        <v/>
      </c>
      <c r="Z7" s="132">
        <f>IF(AND($A7&gt;='Auswertung 3-Schicht'!G$3,$A7&lt;='Auswertung 3-Schicht'!G$4),Berechnung!F6,"")</f>
        <v>23.251035773881362</v>
      </c>
      <c r="AA7" s="118" t="str">
        <f>IF(AND($A7&gt;='Auswertung 3-Schicht'!H$3,$A7&lt;='Auswertung 3-Schicht'!H$4),Berechnung!K6,"")</f>
        <v/>
      </c>
      <c r="AB7" s="134" t="str">
        <f>IF(AND($A7&gt;='Auswertung 3-Schicht'!I$3,$A7&lt;='Auswertung 3-Schicht'!I$4),Berechnung!L6,"")</f>
        <v/>
      </c>
      <c r="AC7" s="118" t="str">
        <f>IF(AND($A7&gt;='Auswertung 3-Schicht'!J$3,$A7&lt;='Auswertung 3-Schicht'!J$4),Berechnung!P6,"")</f>
        <v/>
      </c>
      <c r="AD7" s="121" t="str">
        <f>IF(AND($A7&gt;='Auswertung 3-Schicht'!K$3,$A7&lt;='Auswertung 3-Schicht'!K$4),Berechnung!Q6,"")</f>
        <v/>
      </c>
      <c r="AE7" s="136" t="str">
        <f>IF(AND($A7&gt;='Auswertung 3-Schicht'!D$6,$A7&lt;='Auswertung 3-Schicht'!D$7),Berechnung!C6,"")</f>
        <v/>
      </c>
      <c r="AF7" s="118" t="str">
        <f>IF(AND($A7&gt;='Auswertung 3-Schicht'!E$6,$A7&lt;='Auswertung 3-Schicht'!E$7),Berechnung!D6,"")</f>
        <v/>
      </c>
      <c r="AG7" s="118" t="str">
        <f>IF(AND($A7&gt;='Auswertung 3-Schicht'!F$6,$A7&lt;='Auswertung 3-Schicht'!F$7),Berechnung!E6,"")</f>
        <v/>
      </c>
      <c r="AH7" s="118" t="str">
        <f>IF(AND($A7&gt;='Auswertung 3-Schicht'!G$6,$A7&lt;='Auswertung 3-Schicht'!G$7),Berechnung!F6,"")</f>
        <v/>
      </c>
      <c r="AI7" s="118" t="str">
        <f>IF(AND($A7&gt;='Auswertung 3-Schicht'!H$6,$A7&lt;='Auswertung 3-Schicht'!H$7),Berechnung!K6,"")</f>
        <v/>
      </c>
      <c r="AJ7" s="118" t="str">
        <f>IF(AND($A7&gt;='Auswertung 3-Schicht'!I$6,$A7&lt;='Auswertung 3-Schicht'!I$7),Berechnung!L6,"")</f>
        <v/>
      </c>
      <c r="AK7" s="118" t="str">
        <f>IF(AND($A7&gt;='Auswertung 3-Schicht'!J$6,$A7&lt;='Auswertung 3-Schicht'!J$7),Berechnung!P6,"")</f>
        <v/>
      </c>
      <c r="AL7" s="118" t="str">
        <f>IF(AND($A7&gt;='Auswertung 3-Schicht'!K$6,$A7&lt;='Auswertung 3-Schicht'!K$7),Berechnung!Q6,"")</f>
        <v/>
      </c>
      <c r="AM7" s="120">
        <f>IF(AND($A7&gt;='Auswertung 3-Schicht'!D$10,$A7&lt;='Auswertung 3-Schicht'!D$11),Berechnung!C6,"")</f>
        <v>67.178576839881984</v>
      </c>
      <c r="AN7" s="118" t="str">
        <f>IF(AND($A7&gt;='Auswertung 3-Schicht'!E$10,$A7&lt;='Auswertung 3-Schicht'!E$11),Berechnung!D6,"")</f>
        <v/>
      </c>
      <c r="AO7" s="118">
        <f>IF(AND($A7&gt;='Auswertung 3-Schicht'!F$10,$A7&lt;='Auswertung 3-Schicht'!F$11),Berechnung!E6,"")</f>
        <v>99.280885359077502</v>
      </c>
      <c r="AP7" s="118" t="str">
        <f>IF(AND($A7&gt;='Auswertung 3-Schicht'!G$10,$A7&lt;='Auswertung 3-Schicht'!G$11),Berechnung!F6,"")</f>
        <v/>
      </c>
      <c r="AQ7" s="118" t="str">
        <f>IF(AND($A7&gt;='Auswertung 3-Schicht'!H$10,$A7&lt;='Auswertung 3-Schicht'!H$11),Berechnung!K6,"")</f>
        <v/>
      </c>
      <c r="AR7" s="118" t="str">
        <f>IF(AND($A7&gt;='Auswertung 3-Schicht'!I$10,$A7&lt;='Auswertung 3-Schicht'!I$11),Berechnung!L6,"")</f>
        <v/>
      </c>
      <c r="AS7" s="118" t="str">
        <f>IF(AND($A7&gt;='Auswertung 3-Schicht'!J$10,$A7&lt;='Auswertung 3-Schicht'!J$11),Berechnung!P6,"")</f>
        <v/>
      </c>
      <c r="AT7" s="118" t="str">
        <f>IF(AND($A7&gt;='Auswertung 3-Schicht'!K$10,$A7&lt;='Auswertung 3-Schicht'!K$11),Berechnung!Q6,"")</f>
        <v/>
      </c>
      <c r="AU7" s="82">
        <f t="shared" si="11"/>
        <v>-999</v>
      </c>
      <c r="AV7" s="42">
        <f t="shared" si="12"/>
        <v>-999</v>
      </c>
      <c r="AW7" s="79">
        <f t="shared" si="13"/>
        <v>23.251035773881362</v>
      </c>
      <c r="AX7" s="79">
        <f t="shared" si="14"/>
        <v>-999</v>
      </c>
      <c r="AY7" s="79">
        <f t="shared" si="15"/>
        <v>-999</v>
      </c>
      <c r="AZ7" s="42">
        <f t="shared" si="16"/>
        <v>-999</v>
      </c>
      <c r="BA7" s="83">
        <f t="shared" si="17"/>
        <v>-999</v>
      </c>
      <c r="BB7" s="80">
        <f t="shared" si="18"/>
        <v>-999</v>
      </c>
      <c r="BC7" s="42">
        <f t="shared" si="19"/>
        <v>-999</v>
      </c>
      <c r="BD7" s="42">
        <f t="shared" si="20"/>
        <v>-999</v>
      </c>
      <c r="BE7" s="42">
        <f t="shared" si="21"/>
        <v>-999</v>
      </c>
      <c r="BF7" s="42">
        <f t="shared" si="22"/>
        <v>-999</v>
      </c>
      <c r="BG7" s="42">
        <f t="shared" si="23"/>
        <v>-999</v>
      </c>
      <c r="BH7" s="83">
        <f t="shared" si="24"/>
        <v>-999</v>
      </c>
      <c r="BI7" s="82">
        <f t="shared" si="25"/>
        <v>67.178576839881984</v>
      </c>
      <c r="BJ7" s="42">
        <f t="shared" si="26"/>
        <v>99.280885359077502</v>
      </c>
      <c r="BK7" s="42">
        <f t="shared" si="27"/>
        <v>-999</v>
      </c>
      <c r="BL7" s="42">
        <f t="shared" si="28"/>
        <v>-999</v>
      </c>
      <c r="BM7" s="42">
        <f t="shared" si="29"/>
        <v>-999</v>
      </c>
      <c r="BN7" s="42">
        <f t="shared" si="30"/>
        <v>-999</v>
      </c>
      <c r="BO7" s="83">
        <f t="shared" si="31"/>
        <v>-999</v>
      </c>
      <c r="BP7" s="80">
        <f>IF('Auswertung 2-Schicht'!O$4="",-999,MIN(1000*SQRT((A7+1)^2+AVERAGE(T0_Korrektur!D$1,T0_Korrektur!F$1,T0_Korrektur!H$1)^2)/'Auswertung 2-Schicht'!$O$4,'Auswertung 2-Schicht'!$O$8+1000*SQRT((A7+1)^2+AVERAGE(T0_Korrektur!D$1,T0_Korrektur!F$1,T0_Korrektur!H$1)^2)/'Auswertung 2-Schicht'!$O$7))</f>
        <v>16.536337908309811</v>
      </c>
      <c r="BQ7" s="83">
        <f>IF('Auswertung 3-Schicht'!N$4="",-999,IF('Auswertung 3-Schicht'!N$8="",MIN(1000*SQRT((A7+1)^2+AVERAGE(T0_Korrektur!D$1,T0_Korrektur!F$1,T0_Korrektur!H$1)^2)/'Auswertung 3-Schicht'!N$4,'Auswertung 3-Schicht'!N$6+1000*SQRT((A7+1)^2+AVERAGE(T0_Korrektur!D$1,T0_Korrektur!F$1,T0_Korrektur!H$1)^2)/'Auswertung 3-Schicht'!N$5),MIN(1000*SQRT((A7+1)^2+AVERAGE(T0_Korrektur!D$1,T0_Korrektur!F$1,T0_Korrektur!H$1)^2)/'Auswertung 3-Schicht'!N$4,'Auswertung 3-Schicht'!N$6+1000*SQRT((A7+1)^2+AVERAGE(T0_Korrektur!D$1,T0_Korrektur!F$1,T0_Korrektur!H$1)^2)/'Auswertung 3-Schicht'!N$5,'Auswertung 3-Schicht'!N$9+1000*SQRT((A7+1)^2+AVERAGE(T0_Korrektur!D$1,T0_Korrektur!F$1,T0_Korrektur!H$1)^2)/'Auswertung 3-Schicht'!N$8)))</f>
        <v>16.177396703509938</v>
      </c>
      <c r="BR7" s="82">
        <f>ABS(T0_Korrektur!C6)</f>
        <v>88.766280196930637</v>
      </c>
      <c r="BS7" s="42">
        <f>ABS(T0_Korrektur!E6)</f>
        <v>187.50682654239552</v>
      </c>
      <c r="BT7" s="42">
        <f>ABS(T0_Korrektur!I6)</f>
        <v>999</v>
      </c>
      <c r="BU7" s="79">
        <f>ABS(T0_Korrektur!M6)</f>
        <v>999</v>
      </c>
      <c r="BV7" s="120">
        <f>IF(T0_Korrektur!H6="","",T0_Korrektur!H6-Hilfsdaten!BP7)</f>
        <v>7.0883620916901897</v>
      </c>
      <c r="BW7" s="118">
        <f>IF(T0_Korrektur!D30="","",T0_Korrektur!D30-Hilfsdaten!BP7)</f>
        <v>1.1420620916901889</v>
      </c>
      <c r="BX7" s="118">
        <f>IF(T0_Korrektur!D23="","",T0_Korrektur!D23-Hilfsdaten!BP7)</f>
        <v>0.77666209169018785</v>
      </c>
      <c r="BY7" s="118" t="str">
        <f>IF(T0_Korrektur!F53="","",T0_Korrektur!F53-Hilfsdaten!BP7)</f>
        <v/>
      </c>
      <c r="BZ7" s="120">
        <f>IF(T0_Korrektur!H6="","",T0_Korrektur!H6-Hilfsdaten!BQ7)</f>
        <v>7.4473032964900625</v>
      </c>
      <c r="CA7" s="118">
        <f>IF(T0_Korrektur!D30="","",T0_Korrektur!D30-Hilfsdaten!BQ7)</f>
        <v>1.5010032964900617</v>
      </c>
      <c r="CB7" s="118">
        <f>IF(T0_Korrektur!D23="","",T0_Korrektur!D23-Hilfsdaten!BQ7)</f>
        <v>1.1356032964900606</v>
      </c>
      <c r="CC7" s="121" t="str">
        <f>IF(T0_Korrektur!F53="","",T0_Korrektur!F53-Hilfsdaten!BQ7)</f>
        <v/>
      </c>
      <c r="CD7" s="115"/>
    </row>
    <row r="8" spans="1:84" x14ac:dyDescent="0.2">
      <c r="A8" s="130">
        <f>'Picks importieren'!B8</f>
        <v>10</v>
      </c>
      <c r="B8" s="120" t="str">
        <f>IF(AND($A8&gt;='Auswertung 2-Schicht'!C$3,$A8&lt;='Auswertung 2-Schicht'!C$4),Berechnung!C7,"")</f>
        <v/>
      </c>
      <c r="C8" s="118" t="str">
        <f>IF(AND($A8&gt;='Auswertung 2-Schicht'!D$3,$A8&lt;='Auswertung 2-Schicht'!D$4),Berechnung!D7,"")</f>
        <v/>
      </c>
      <c r="D8" s="118" t="str">
        <f>IF(AND($A8&gt;='Auswertung 2-Schicht'!E$3,$A8&lt;='Auswertung 2-Schicht'!E$4),Berechnung!G7,"")</f>
        <v/>
      </c>
      <c r="E8" s="121">
        <f>IF(AND($A8&gt;='Auswertung 2-Schicht'!F$3,$A8&lt;='Auswertung 2-Schicht'!F$4),Berechnung!F7,"")</f>
        <v>28.579508021342949</v>
      </c>
      <c r="F8" s="131">
        <f>IF(AND($A8&gt;='Auswertung 2-Schicht'!H$3,$A8&lt;='Auswertung 2-Schicht'!H$4),IF('Auswertung 2-Schicht'!$H$8=1,Berechnung!I7,IF('Auswertung 2-Schicht'!$H$8=2,Berechnung!N7,Berechnung!S7)),"")</f>
        <v>24.613827210979917</v>
      </c>
      <c r="G8" s="118">
        <f>IF(AND($A8&gt;='Auswertung 2-Schicht'!H$3,$A8&lt;='Auswertung 2-Schicht'!H$4),IF('Auswertung 2-Schicht'!$H$8=1,Berechnung!J7,IF('Auswertung 2-Schicht'!$H$8=2,Berechnung!O7,Berechnung!T7)),"")</f>
        <v>25.838159625446508</v>
      </c>
      <c r="H8" s="118" t="str">
        <f>IF(AND($A8&gt;='Auswertung 2-Schicht'!I$3,$A8&lt;='Auswertung 2-Schicht'!I$4),Berechnung!K7,"")</f>
        <v/>
      </c>
      <c r="I8" s="132" t="str">
        <f>IF(AND($A8&gt;='Auswertung 2-Schicht'!J$3,$A8&lt;='Auswertung 2-Schicht'!J$4),Berechnung!L7,"")</f>
        <v/>
      </c>
      <c r="J8" s="118" t="str">
        <f>IF(AND($A8&gt;='Auswertung 2-Schicht'!K$3,$A8&lt;='Auswertung 2-Schicht'!K$4),Berechnung!P7,"")</f>
        <v/>
      </c>
      <c r="K8" s="134" t="str">
        <f>IF(AND($A8&gt;='Auswertung 2-Schicht'!L$3,$A8&lt;='Auswertung 2-Schicht'!L$4),Berechnung!Q7,"")</f>
        <v/>
      </c>
      <c r="L8" s="131">
        <f>IF('Auswertung 2-Schicht'!$H$8=1,Berechnung!I7,IF('Auswertung 2-Schicht'!$H$8=2,Berechnung!N7,Berechnung!S7))</f>
        <v>24.613827210979917</v>
      </c>
      <c r="M8" s="133">
        <f>IF('Auswertung 2-Schicht'!$H$8=1,Berechnung!J7,IF('Auswertung 2-Schicht'!$H$8=2,Berechnung!O7,Berechnung!T7))</f>
        <v>25.838159625446508</v>
      </c>
      <c r="N8" s="82">
        <f t="shared" si="4"/>
        <v>-999</v>
      </c>
      <c r="O8" s="42">
        <f t="shared" si="32"/>
        <v>-999</v>
      </c>
      <c r="P8" s="83">
        <f t="shared" si="33"/>
        <v>28.579508021342949</v>
      </c>
      <c r="Q8" s="82">
        <f t="shared" si="5"/>
        <v>24.613827210979917</v>
      </c>
      <c r="R8" s="42">
        <f t="shared" si="6"/>
        <v>25.838159625446508</v>
      </c>
      <c r="S8" s="42">
        <f t="shared" si="7"/>
        <v>-999</v>
      </c>
      <c r="T8" s="42">
        <f t="shared" si="8"/>
        <v>-999</v>
      </c>
      <c r="U8" s="42">
        <f t="shared" si="9"/>
        <v>-999</v>
      </c>
      <c r="V8" s="109">
        <f t="shared" si="10"/>
        <v>-999</v>
      </c>
      <c r="W8" s="120" t="str">
        <f>IF(AND($A8&gt;='Auswertung 3-Schicht'!D$3,$A8&lt;='Auswertung 3-Schicht'!D$4),Berechnung!C7,"")</f>
        <v/>
      </c>
      <c r="X8" s="118" t="str">
        <f>IF(AND($A8&gt;='Auswertung 3-Schicht'!E$3,$A8&lt;='Auswertung 3-Schicht'!E$4),Berechnung!D7,"")</f>
        <v/>
      </c>
      <c r="Y8" s="118" t="str">
        <f>IF(AND($A8&gt;='Auswertung 3-Schicht'!F$3,$A8&lt;='Auswertung 3-Schicht'!F$4),Berechnung!E7,"")</f>
        <v/>
      </c>
      <c r="Z8" s="132">
        <f>IF(AND($A8&gt;='Auswertung 3-Schicht'!G$3,$A8&lt;='Auswertung 3-Schicht'!G$4),Berechnung!F7,"")</f>
        <v>28.579508021342949</v>
      </c>
      <c r="AA8" s="118" t="str">
        <f>IF(AND($A8&gt;='Auswertung 3-Schicht'!H$3,$A8&lt;='Auswertung 3-Schicht'!H$4),Berechnung!K7,"")</f>
        <v/>
      </c>
      <c r="AB8" s="134" t="str">
        <f>IF(AND($A8&gt;='Auswertung 3-Schicht'!I$3,$A8&lt;='Auswertung 3-Schicht'!I$4),Berechnung!L7,"")</f>
        <v/>
      </c>
      <c r="AC8" s="118" t="str">
        <f>IF(AND($A8&gt;='Auswertung 3-Schicht'!J$3,$A8&lt;='Auswertung 3-Schicht'!J$4),Berechnung!P7,"")</f>
        <v/>
      </c>
      <c r="AD8" s="121" t="str">
        <f>IF(AND($A8&gt;='Auswertung 3-Schicht'!K$3,$A8&lt;='Auswertung 3-Schicht'!K$4),Berechnung!Q7,"")</f>
        <v/>
      </c>
      <c r="AE8" s="136">
        <f>IF(AND($A8&gt;='Auswertung 3-Schicht'!D$6,$A8&lt;='Auswertung 3-Schicht'!D$7),Berechnung!C7,"")</f>
        <v>66.360411079834336</v>
      </c>
      <c r="AF8" s="118" t="str">
        <f>IF(AND($A8&gt;='Auswertung 3-Schicht'!E$6,$A8&lt;='Auswertung 3-Schicht'!E$7),Berechnung!D7,"")</f>
        <v/>
      </c>
      <c r="AG8" s="118" t="str">
        <f>IF(AND($A8&gt;='Auswertung 3-Schicht'!F$6,$A8&lt;='Auswertung 3-Schicht'!F$7),Berechnung!E7,"")</f>
        <v/>
      </c>
      <c r="AH8" s="118">
        <f>IF(AND($A8&gt;='Auswertung 3-Schicht'!G$6,$A8&lt;='Auswertung 3-Schicht'!G$7),Berechnung!F7,"")</f>
        <v>28.579508021342949</v>
      </c>
      <c r="AI8" s="118" t="str">
        <f>IF(AND($A8&gt;='Auswertung 3-Schicht'!H$6,$A8&lt;='Auswertung 3-Schicht'!H$7),Berechnung!K7,"")</f>
        <v/>
      </c>
      <c r="AJ8" s="118" t="str">
        <f>IF(AND($A8&gt;='Auswertung 3-Schicht'!I$6,$A8&lt;='Auswertung 3-Schicht'!I$7),Berechnung!L7,"")</f>
        <v/>
      </c>
      <c r="AK8" s="118" t="str">
        <f>IF(AND($A8&gt;='Auswertung 3-Schicht'!J$6,$A8&lt;='Auswertung 3-Schicht'!J$7),Berechnung!P7,"")</f>
        <v/>
      </c>
      <c r="AL8" s="118" t="str">
        <f>IF(AND($A8&gt;='Auswertung 3-Schicht'!K$6,$A8&lt;='Auswertung 3-Schicht'!K$7),Berechnung!Q7,"")</f>
        <v/>
      </c>
      <c r="AM8" s="120">
        <f>IF(AND($A8&gt;='Auswertung 3-Schicht'!D$10,$A8&lt;='Auswertung 3-Schicht'!D$11),Berechnung!C7,"")</f>
        <v>66.360411079834336</v>
      </c>
      <c r="AN8" s="118" t="str">
        <f>IF(AND($A8&gt;='Auswertung 3-Schicht'!E$10,$A8&lt;='Auswertung 3-Schicht'!E$11),Berechnung!D7,"")</f>
        <v/>
      </c>
      <c r="AO8" s="118">
        <f>IF(AND($A8&gt;='Auswertung 3-Schicht'!F$10,$A8&lt;='Auswertung 3-Schicht'!F$11),Berechnung!E7,"")</f>
        <v>98.463217587675302</v>
      </c>
      <c r="AP8" s="118" t="str">
        <f>IF(AND($A8&gt;='Auswertung 3-Schicht'!G$10,$A8&lt;='Auswertung 3-Schicht'!G$11),Berechnung!F7,"")</f>
        <v/>
      </c>
      <c r="AQ8" s="118" t="str">
        <f>IF(AND($A8&gt;='Auswertung 3-Schicht'!H$10,$A8&lt;='Auswertung 3-Schicht'!H$11),Berechnung!K7,"")</f>
        <v/>
      </c>
      <c r="AR8" s="118" t="str">
        <f>IF(AND($A8&gt;='Auswertung 3-Schicht'!I$10,$A8&lt;='Auswertung 3-Schicht'!I$11),Berechnung!L7,"")</f>
        <v/>
      </c>
      <c r="AS8" s="118" t="str">
        <f>IF(AND($A8&gt;='Auswertung 3-Schicht'!J$10,$A8&lt;='Auswertung 3-Schicht'!J$11),Berechnung!P7,"")</f>
        <v/>
      </c>
      <c r="AT8" s="118" t="str">
        <f>IF(AND($A8&gt;='Auswertung 3-Schicht'!K$10,$A8&lt;='Auswertung 3-Schicht'!K$11),Berechnung!Q7,"")</f>
        <v/>
      </c>
      <c r="AU8" s="82">
        <f t="shared" si="11"/>
        <v>-999</v>
      </c>
      <c r="AV8" s="42">
        <f t="shared" si="12"/>
        <v>-999</v>
      </c>
      <c r="AW8" s="79">
        <f t="shared" si="13"/>
        <v>28.579508021342949</v>
      </c>
      <c r="AX8" s="79">
        <f t="shared" si="14"/>
        <v>-999</v>
      </c>
      <c r="AY8" s="79">
        <f t="shared" si="15"/>
        <v>-999</v>
      </c>
      <c r="AZ8" s="42">
        <f t="shared" si="16"/>
        <v>-999</v>
      </c>
      <c r="BA8" s="83">
        <f t="shared" si="17"/>
        <v>-999</v>
      </c>
      <c r="BB8" s="80">
        <f t="shared" si="18"/>
        <v>66.360411079834336</v>
      </c>
      <c r="BC8" s="42">
        <f t="shared" si="19"/>
        <v>-999</v>
      </c>
      <c r="BD8" s="42">
        <f t="shared" si="20"/>
        <v>28.579508021342949</v>
      </c>
      <c r="BE8" s="42">
        <f t="shared" si="21"/>
        <v>-999</v>
      </c>
      <c r="BF8" s="42">
        <f t="shared" si="22"/>
        <v>-999</v>
      </c>
      <c r="BG8" s="42">
        <f t="shared" si="23"/>
        <v>-999</v>
      </c>
      <c r="BH8" s="83">
        <f t="shared" si="24"/>
        <v>-999</v>
      </c>
      <c r="BI8" s="82">
        <f t="shared" si="25"/>
        <v>66.360411079834336</v>
      </c>
      <c r="BJ8" s="42">
        <f t="shared" si="26"/>
        <v>98.463217587675302</v>
      </c>
      <c r="BK8" s="42">
        <f t="shared" si="27"/>
        <v>-999</v>
      </c>
      <c r="BL8" s="42">
        <f t="shared" si="28"/>
        <v>-999</v>
      </c>
      <c r="BM8" s="42">
        <f t="shared" si="29"/>
        <v>-999</v>
      </c>
      <c r="BN8" s="42">
        <f t="shared" si="30"/>
        <v>-999</v>
      </c>
      <c r="BO8" s="83">
        <f t="shared" si="31"/>
        <v>-999</v>
      </c>
      <c r="BP8" s="80">
        <f>IF('Auswertung 2-Schicht'!O$4="",-999,MIN(1000*SQRT((A8+1)^2+AVERAGE(T0_Korrektur!D$1,T0_Korrektur!F$1,T0_Korrektur!H$1)^2)/'Auswertung 2-Schicht'!$O$4,'Auswertung 2-Schicht'!$O$8+1000*SQRT((A8+1)^2+AVERAGE(T0_Korrektur!D$1,T0_Korrektur!F$1,T0_Korrektur!H$1)^2)/'Auswertung 2-Schicht'!$O$7))</f>
        <v>21.233513827164504</v>
      </c>
      <c r="BQ8" s="83">
        <f>IF('Auswertung 3-Schicht'!N$4="",-999,IF('Auswertung 3-Schicht'!N$8="",MIN(1000*SQRT((A8+1)^2+AVERAGE(T0_Korrektur!D$1,T0_Korrektur!F$1,T0_Korrektur!H$1)^2)/'Auswertung 3-Schicht'!N$4,'Auswertung 3-Schicht'!N$6+1000*SQRT((A8+1)^2+AVERAGE(T0_Korrektur!D$1,T0_Korrektur!F$1,T0_Korrektur!H$1)^2)/'Auswertung 3-Schicht'!N$5),MIN(1000*SQRT((A8+1)^2+AVERAGE(T0_Korrektur!D$1,T0_Korrektur!F$1,T0_Korrektur!H$1)^2)/'Auswertung 3-Schicht'!N$4,'Auswertung 3-Schicht'!N$6+1000*SQRT((A8+1)^2+AVERAGE(T0_Korrektur!D$1,T0_Korrektur!F$1,T0_Korrektur!H$1)^2)/'Auswertung 3-Schicht'!N$5,'Auswertung 3-Schicht'!N$9+1000*SQRT((A8+1)^2+AVERAGE(T0_Korrektur!D$1,T0_Korrektur!F$1,T0_Korrektur!H$1)^2)/'Auswertung 3-Schicht'!N$8)))</f>
        <v>20.772614740709145</v>
      </c>
      <c r="BR8" s="82">
        <f>ABS(T0_Korrektur!C7)</f>
        <v>86.266751996351417</v>
      </c>
      <c r="BS8" s="42">
        <f>ABS(T0_Korrektur!E7)</f>
        <v>185.00691878954149</v>
      </c>
      <c r="BT8" s="42">
        <f>ABS(T0_Korrektur!I7)</f>
        <v>999</v>
      </c>
      <c r="BU8" s="79">
        <f>ABS(T0_Korrektur!M7)</f>
        <v>999</v>
      </c>
      <c r="BV8" s="120">
        <f>IF(T0_Korrektur!H7="","",T0_Korrektur!H7-Hilfsdaten!BP8)</f>
        <v>7.6407861728354973</v>
      </c>
      <c r="BW8" s="118">
        <f>IF(T0_Korrektur!D31="","",T0_Korrektur!D31-Hilfsdaten!BP8)</f>
        <v>0.98548617283549689</v>
      </c>
      <c r="BX8" s="118">
        <f>IF(T0_Korrektur!D22="","",T0_Korrektur!D22-Hilfsdaten!BP8)</f>
        <v>1.138286172835496</v>
      </c>
      <c r="BY8" s="118" t="str">
        <f>IF(T0_Korrektur!F52="","",T0_Korrektur!F52-Hilfsdaten!BP8)</f>
        <v/>
      </c>
      <c r="BZ8" s="120">
        <f>IF(T0_Korrektur!H7="","",T0_Korrektur!H7-Hilfsdaten!BQ8)</f>
        <v>8.101685259290857</v>
      </c>
      <c r="CA8" s="118">
        <f>IF(T0_Korrektur!D31="","",T0_Korrektur!D31-Hilfsdaten!BQ8)</f>
        <v>1.4463852592908566</v>
      </c>
      <c r="CB8" s="118">
        <f>IF(T0_Korrektur!D22="","",T0_Korrektur!D22-Hilfsdaten!BQ8)</f>
        <v>1.5991852592908558</v>
      </c>
      <c r="CC8" s="121" t="str">
        <f>IF(T0_Korrektur!F52="","",T0_Korrektur!F52-Hilfsdaten!BQ8)</f>
        <v/>
      </c>
      <c r="CD8" s="115"/>
    </row>
    <row r="9" spans="1:84" x14ac:dyDescent="0.2">
      <c r="A9" s="130">
        <f>'Picks importieren'!B9</f>
        <v>15</v>
      </c>
      <c r="B9" s="120" t="str">
        <f>IF(AND($A9&gt;='Auswertung 2-Schicht'!C$3,$A9&lt;='Auswertung 2-Schicht'!C$4),Berechnung!C8,"")</f>
        <v/>
      </c>
      <c r="C9" s="118" t="str">
        <f>IF(AND($A9&gt;='Auswertung 2-Schicht'!D$3,$A9&lt;='Auswertung 2-Schicht'!D$4),Berechnung!D8,"")</f>
        <v/>
      </c>
      <c r="D9" s="118" t="str">
        <f>IF(AND($A9&gt;='Auswertung 2-Schicht'!E$3,$A9&lt;='Auswertung 2-Schicht'!E$4),Berechnung!G8,"")</f>
        <v/>
      </c>
      <c r="E9" s="121" t="str">
        <f>IF(AND($A9&gt;='Auswertung 2-Schicht'!F$3,$A9&lt;='Auswertung 2-Schicht'!F$4),Berechnung!F8,"")</f>
        <v/>
      </c>
      <c r="F9" s="131">
        <f>IF(AND($A9&gt;='Auswertung 2-Schicht'!H$3,$A9&lt;='Auswertung 2-Schicht'!H$4),IF('Auswertung 2-Schicht'!$H$8=1,Berechnung!I8,IF('Auswertung 2-Schicht'!$H$8=2,Berechnung!N8,Berechnung!S8)),"")</f>
        <v>30.009272918348312</v>
      </c>
      <c r="G9" s="118">
        <f>IF(AND($A9&gt;='Auswertung 2-Schicht'!H$3,$A9&lt;='Auswertung 2-Schicht'!H$4),IF('Auswertung 2-Schicht'!$H$8=1,Berechnung!J8,IF('Auswertung 2-Schicht'!$H$8=2,Berechnung!O8,Berechnung!T8)),"")</f>
        <v>28.37130357770306</v>
      </c>
      <c r="H9" s="118" t="str">
        <f>IF(AND($A9&gt;='Auswertung 2-Schicht'!I$3,$A9&lt;='Auswertung 2-Schicht'!I$4),Berechnung!K8,"")</f>
        <v/>
      </c>
      <c r="I9" s="132" t="str">
        <f>IF(AND($A9&gt;='Auswertung 2-Schicht'!J$3,$A9&lt;='Auswertung 2-Schicht'!J$4),Berechnung!L8,"")</f>
        <v/>
      </c>
      <c r="J9" s="118" t="str">
        <f>IF(AND($A9&gt;='Auswertung 2-Schicht'!K$3,$A9&lt;='Auswertung 2-Schicht'!K$4),Berechnung!P8,"")</f>
        <v/>
      </c>
      <c r="K9" s="134" t="str">
        <f>IF(AND($A9&gt;='Auswertung 2-Schicht'!L$3,$A9&lt;='Auswertung 2-Schicht'!L$4),Berechnung!Q8,"")</f>
        <v/>
      </c>
      <c r="L9" s="131">
        <f>IF('Auswertung 2-Schicht'!$H$8=1,Berechnung!I8,IF('Auswertung 2-Schicht'!$H$8=2,Berechnung!N8,Berechnung!S8))</f>
        <v>30.009272918348312</v>
      </c>
      <c r="M9" s="133">
        <f>IF('Auswertung 2-Schicht'!$H$8=1,Berechnung!J8,IF('Auswertung 2-Schicht'!$H$8=2,Berechnung!O8,Berechnung!T8))</f>
        <v>28.37130357770306</v>
      </c>
      <c r="N9" s="82">
        <f t="shared" si="4"/>
        <v>-999</v>
      </c>
      <c r="O9" s="42">
        <f t="shared" si="32"/>
        <v>-999</v>
      </c>
      <c r="P9" s="83">
        <f t="shared" si="33"/>
        <v>-999</v>
      </c>
      <c r="Q9" s="82">
        <f t="shared" si="5"/>
        <v>30.009272918348312</v>
      </c>
      <c r="R9" s="42">
        <f t="shared" si="6"/>
        <v>28.37130357770306</v>
      </c>
      <c r="S9" s="42">
        <f t="shared" si="7"/>
        <v>-999</v>
      </c>
      <c r="T9" s="42">
        <f t="shared" si="8"/>
        <v>-999</v>
      </c>
      <c r="U9" s="42">
        <f t="shared" si="9"/>
        <v>-999</v>
      </c>
      <c r="V9" s="109">
        <f t="shared" si="10"/>
        <v>-999</v>
      </c>
      <c r="W9" s="120" t="str">
        <f>IF(AND($A9&gt;='Auswertung 3-Schicht'!D$3,$A9&lt;='Auswertung 3-Schicht'!D$4),Berechnung!C8,"")</f>
        <v/>
      </c>
      <c r="X9" s="118" t="str">
        <f>IF(AND($A9&gt;='Auswertung 3-Schicht'!E$3,$A9&lt;='Auswertung 3-Schicht'!E$4),Berechnung!D8,"")</f>
        <v/>
      </c>
      <c r="Y9" s="118" t="str">
        <f>IF(AND($A9&gt;='Auswertung 3-Schicht'!F$3,$A9&lt;='Auswertung 3-Schicht'!F$4),Berechnung!E8,"")</f>
        <v/>
      </c>
      <c r="Z9" s="132" t="str">
        <f>IF(AND($A9&gt;='Auswertung 3-Schicht'!G$3,$A9&lt;='Auswertung 3-Schicht'!G$4),Berechnung!F8,"")</f>
        <v/>
      </c>
      <c r="AA9" s="118" t="str">
        <f>IF(AND($A9&gt;='Auswertung 3-Schicht'!H$3,$A9&lt;='Auswertung 3-Schicht'!H$4),Berechnung!K8,"")</f>
        <v/>
      </c>
      <c r="AB9" s="134" t="str">
        <f>IF(AND($A9&gt;='Auswertung 3-Schicht'!I$3,$A9&lt;='Auswertung 3-Schicht'!I$4),Berechnung!L8,"")</f>
        <v/>
      </c>
      <c r="AC9" s="118" t="str">
        <f>IF(AND($A9&gt;='Auswertung 3-Schicht'!J$3,$A9&lt;='Auswertung 3-Schicht'!J$4),Berechnung!P8,"")</f>
        <v/>
      </c>
      <c r="AD9" s="121" t="str">
        <f>IF(AND($A9&gt;='Auswertung 3-Schicht'!K$3,$A9&lt;='Auswertung 3-Schicht'!K$4),Berechnung!Q8,"")</f>
        <v/>
      </c>
      <c r="AE9" s="136">
        <f>IF(AND($A9&gt;='Auswertung 3-Schicht'!D$6,$A9&lt;='Auswertung 3-Schicht'!D$7),Berechnung!C8,"")</f>
        <v>63.701857980550059</v>
      </c>
      <c r="AF9" s="118" t="str">
        <f>IF(AND($A9&gt;='Auswertung 3-Schicht'!E$6,$A9&lt;='Auswertung 3-Schicht'!E$7),Berechnung!D8,"")</f>
        <v/>
      </c>
      <c r="AG9" s="118" t="str">
        <f>IF(AND($A9&gt;='Auswertung 3-Schicht'!F$6,$A9&lt;='Auswertung 3-Schicht'!F$7),Berechnung!E8,"")</f>
        <v/>
      </c>
      <c r="AH9" s="118">
        <f>IF(AND($A9&gt;='Auswertung 3-Schicht'!G$6,$A9&lt;='Auswertung 3-Schicht'!G$7),Berechnung!F8,"")</f>
        <v>32.543802851155412</v>
      </c>
      <c r="AI9" s="118" t="str">
        <f>IF(AND($A9&gt;='Auswertung 3-Schicht'!H$6,$A9&lt;='Auswertung 3-Schicht'!H$7),Berechnung!K8,"")</f>
        <v/>
      </c>
      <c r="AJ9" s="118" t="str">
        <f>IF(AND($A9&gt;='Auswertung 3-Schicht'!I$6,$A9&lt;='Auswertung 3-Schicht'!I$7),Berechnung!L8,"")</f>
        <v/>
      </c>
      <c r="AK9" s="118" t="str">
        <f>IF(AND($A9&gt;='Auswertung 3-Schicht'!J$6,$A9&lt;='Auswertung 3-Schicht'!J$7),Berechnung!P8,"")</f>
        <v/>
      </c>
      <c r="AL9" s="118" t="str">
        <f>IF(AND($A9&gt;='Auswertung 3-Schicht'!K$6,$A9&lt;='Auswertung 3-Schicht'!K$7),Berechnung!Q8,"")</f>
        <v/>
      </c>
      <c r="AM9" s="120" t="str">
        <f>IF(AND($A9&gt;='Auswertung 3-Schicht'!D$10,$A9&lt;='Auswertung 3-Schicht'!D$11),Berechnung!C8,"")</f>
        <v/>
      </c>
      <c r="AN9" s="118" t="str">
        <f>IF(AND($A9&gt;='Auswertung 3-Schicht'!E$10,$A9&lt;='Auswertung 3-Schicht'!E$11),Berechnung!D8,"")</f>
        <v/>
      </c>
      <c r="AO9" s="118">
        <f>IF(AND($A9&gt;='Auswertung 3-Schicht'!F$10,$A9&lt;='Auswertung 3-Schicht'!F$11),Berechnung!E8,"")</f>
        <v>97.032066710119381</v>
      </c>
      <c r="AP9" s="118" t="str">
        <f>IF(AND($A9&gt;='Auswertung 3-Schicht'!G$10,$A9&lt;='Auswertung 3-Schicht'!G$11),Berechnung!F8,"")</f>
        <v/>
      </c>
      <c r="AQ9" s="118" t="str">
        <f>IF(AND($A9&gt;='Auswertung 3-Schicht'!H$10,$A9&lt;='Auswertung 3-Schicht'!H$11),Berechnung!K8,"")</f>
        <v/>
      </c>
      <c r="AR9" s="118" t="str">
        <f>IF(AND($A9&gt;='Auswertung 3-Schicht'!I$10,$A9&lt;='Auswertung 3-Schicht'!I$11),Berechnung!L8,"")</f>
        <v/>
      </c>
      <c r="AS9" s="118" t="str">
        <f>IF(AND($A9&gt;='Auswertung 3-Schicht'!J$10,$A9&lt;='Auswertung 3-Schicht'!J$11),Berechnung!P8,"")</f>
        <v/>
      </c>
      <c r="AT9" s="118" t="str">
        <f>IF(AND($A9&gt;='Auswertung 3-Schicht'!K$10,$A9&lt;='Auswertung 3-Schicht'!K$11),Berechnung!Q8,"")</f>
        <v/>
      </c>
      <c r="AU9" s="82">
        <f t="shared" si="11"/>
        <v>-999</v>
      </c>
      <c r="AV9" s="42">
        <f t="shared" si="12"/>
        <v>-999</v>
      </c>
      <c r="AW9" s="79">
        <f t="shared" si="13"/>
        <v>-999</v>
      </c>
      <c r="AX9" s="79">
        <f t="shared" si="14"/>
        <v>-999</v>
      </c>
      <c r="AY9" s="79">
        <f t="shared" si="15"/>
        <v>-999</v>
      </c>
      <c r="AZ9" s="42">
        <f t="shared" si="16"/>
        <v>-999</v>
      </c>
      <c r="BA9" s="83">
        <f t="shared" si="17"/>
        <v>-999</v>
      </c>
      <c r="BB9" s="80">
        <f t="shared" si="18"/>
        <v>63.701857980550059</v>
      </c>
      <c r="BC9" s="42">
        <f t="shared" si="19"/>
        <v>-999</v>
      </c>
      <c r="BD9" s="42">
        <f t="shared" si="20"/>
        <v>32.543802851155412</v>
      </c>
      <c r="BE9" s="42">
        <f t="shared" si="21"/>
        <v>-999</v>
      </c>
      <c r="BF9" s="42">
        <f t="shared" si="22"/>
        <v>-999</v>
      </c>
      <c r="BG9" s="42">
        <f t="shared" si="23"/>
        <v>-999</v>
      </c>
      <c r="BH9" s="83">
        <f t="shared" si="24"/>
        <v>-999</v>
      </c>
      <c r="BI9" s="82">
        <f t="shared" si="25"/>
        <v>-999</v>
      </c>
      <c r="BJ9" s="42">
        <f t="shared" si="26"/>
        <v>97.032066710119381</v>
      </c>
      <c r="BK9" s="42">
        <f t="shared" si="27"/>
        <v>-999</v>
      </c>
      <c r="BL9" s="42">
        <f t="shared" si="28"/>
        <v>-999</v>
      </c>
      <c r="BM9" s="42">
        <f t="shared" si="29"/>
        <v>-999</v>
      </c>
      <c r="BN9" s="42">
        <f t="shared" si="30"/>
        <v>-999</v>
      </c>
      <c r="BO9" s="83">
        <f t="shared" si="31"/>
        <v>-999</v>
      </c>
      <c r="BP9" s="80">
        <f>IF('Auswertung 2-Schicht'!O$4="",-999,MIN(1000*SQRT((A9+1)^2+AVERAGE(T0_Korrektur!D$1,T0_Korrektur!F$1,T0_Korrektur!H$1)^2)/'Auswertung 2-Schicht'!$O$4,'Auswertung 2-Schicht'!$O$8+1000*SQRT((A9+1)^2+AVERAGE(T0_Korrektur!D$1,T0_Korrektur!F$1,T0_Korrektur!H$1)^2)/'Auswertung 2-Schicht'!$O$7))</f>
        <v>30.694557763589071</v>
      </c>
      <c r="BQ9" s="83">
        <f>IF('Auswertung 3-Schicht'!N$4="",-999,IF('Auswertung 3-Schicht'!N$8="",MIN(1000*SQRT((A9+1)^2+AVERAGE(T0_Korrektur!D$1,T0_Korrektur!F$1,T0_Korrektur!H$1)^2)/'Auswertung 3-Schicht'!N$4,'Auswertung 3-Schicht'!N$6+1000*SQRT((A9+1)^2+AVERAGE(T0_Korrektur!D$1,T0_Korrektur!F$1,T0_Korrektur!H$1)^2)/'Auswertung 3-Schicht'!N$5),MIN(1000*SQRT((A9+1)^2+AVERAGE(T0_Korrektur!D$1,T0_Korrektur!F$1,T0_Korrektur!H$1)^2)/'Auswertung 3-Schicht'!N$4,'Auswertung 3-Schicht'!N$6+1000*SQRT((A9+1)^2+AVERAGE(T0_Korrektur!D$1,T0_Korrektur!F$1,T0_Korrektur!H$1)^2)/'Auswertung 3-Schicht'!N$5,'Auswertung 3-Schicht'!N$9+1000*SQRT((A9+1)^2+AVERAGE(T0_Korrektur!D$1,T0_Korrektur!F$1,T0_Korrektur!H$1)^2)/'Auswertung 3-Schicht'!N$8)))</f>
        <v>30.02829528119716</v>
      </c>
      <c r="BR9" s="82">
        <f>ABS(T0_Korrektur!C8)</f>
        <v>81.26778266939489</v>
      </c>
      <c r="BS9" s="42">
        <f>ABS(T0_Korrektur!E8)</f>
        <v>180.00711097065027</v>
      </c>
      <c r="BT9" s="42">
        <f>ABS(T0_Korrektur!I8)</f>
        <v>999</v>
      </c>
      <c r="BU9" s="79">
        <f>ABS(T0_Korrektur!M8)</f>
        <v>999</v>
      </c>
      <c r="BV9" s="120">
        <f>IF(T0_Korrektur!H8="","",T0_Korrektur!H8-Hilfsdaten!BP9)</f>
        <v>2.020942236410928</v>
      </c>
      <c r="BW9" s="118">
        <f>IF(T0_Korrektur!D32="","",T0_Korrektur!D32-Hilfsdaten!BP9)</f>
        <v>-0.91205776358907187</v>
      </c>
      <c r="BX9" s="118">
        <f>IF(T0_Korrektur!D21="","",T0_Korrektur!D21-Hilfsdaten!BP9)</f>
        <v>-1.9341577635890701</v>
      </c>
      <c r="BY9" s="118" t="str">
        <f>IF(T0_Korrektur!F51="","",T0_Korrektur!F51-Hilfsdaten!BP9)</f>
        <v/>
      </c>
      <c r="BZ9" s="120">
        <f>IF(T0_Korrektur!H8="","",T0_Korrektur!H8-Hilfsdaten!BQ9)</f>
        <v>2.687204718802839</v>
      </c>
      <c r="CA9" s="118">
        <f>IF(T0_Korrektur!D32="","",T0_Korrektur!D32-Hilfsdaten!BQ9)</f>
        <v>-0.24579528119716088</v>
      </c>
      <c r="CB9" s="118">
        <f>IF(T0_Korrektur!D21="","",T0_Korrektur!D21-Hilfsdaten!BQ9)</f>
        <v>-1.2678952811971591</v>
      </c>
      <c r="CC9" s="121" t="str">
        <f>IF(T0_Korrektur!F51="","",T0_Korrektur!F51-Hilfsdaten!BQ9)</f>
        <v/>
      </c>
      <c r="CD9" s="115"/>
    </row>
    <row r="10" spans="1:84" x14ac:dyDescent="0.2">
      <c r="A10" s="130">
        <f>'Picks importieren'!B10</f>
        <v>20</v>
      </c>
      <c r="B10" s="120" t="str">
        <f>IF(AND($A10&gt;='Auswertung 2-Schicht'!C$3,$A10&lt;='Auswertung 2-Schicht'!C$4),Berechnung!C9,"")</f>
        <v/>
      </c>
      <c r="C10" s="118" t="str">
        <f>IF(AND($A10&gt;='Auswertung 2-Schicht'!D$3,$A10&lt;='Auswertung 2-Schicht'!D$4),Berechnung!D9,"")</f>
        <v/>
      </c>
      <c r="D10" s="118" t="str">
        <f>IF(AND($A10&gt;='Auswertung 2-Schicht'!E$3,$A10&lt;='Auswertung 2-Schicht'!E$4),Berechnung!G9,"")</f>
        <v/>
      </c>
      <c r="E10" s="121" t="str">
        <f>IF(AND($A10&gt;='Auswertung 2-Schicht'!F$3,$A10&lt;='Auswertung 2-Schicht'!F$4),Berechnung!F9,"")</f>
        <v/>
      </c>
      <c r="F10" s="131">
        <f>IF(AND($A10&gt;='Auswertung 2-Schicht'!H$3,$A10&lt;='Auswertung 2-Schicht'!H$4),IF('Auswertung 2-Schicht'!$H$8=1,Berechnung!I9,IF('Auswertung 2-Schicht'!$H$8=2,Berechnung!N9,Berechnung!S9)),"")</f>
        <v>34.570956339949113</v>
      </c>
      <c r="G10" s="118">
        <f>IF(AND($A10&gt;='Auswertung 2-Schicht'!H$3,$A10&lt;='Auswertung 2-Schicht'!H$4),IF('Auswertung 2-Schicht'!$H$8=1,Berechnung!J9,IF('Auswertung 2-Schicht'!$H$8=2,Berechnung!O9,Berechnung!T9)),"")</f>
        <v>30.070862282515947</v>
      </c>
      <c r="H10" s="118" t="str">
        <f>IF(AND($A10&gt;='Auswertung 2-Schicht'!I$3,$A10&lt;='Auswertung 2-Schicht'!I$4),Berechnung!K9,"")</f>
        <v/>
      </c>
      <c r="I10" s="132" t="str">
        <f>IF(AND($A10&gt;='Auswertung 2-Schicht'!J$3,$A10&lt;='Auswertung 2-Schicht'!J$4),Berechnung!L9,"")</f>
        <v/>
      </c>
      <c r="J10" s="118" t="str">
        <f>IF(AND($A10&gt;='Auswertung 2-Schicht'!K$3,$A10&lt;='Auswertung 2-Schicht'!K$4),Berechnung!P9,"")</f>
        <v/>
      </c>
      <c r="K10" s="134" t="str">
        <f>IF(AND($A10&gt;='Auswertung 2-Schicht'!L$3,$A10&lt;='Auswertung 2-Schicht'!L$4),Berechnung!Q9,"")</f>
        <v/>
      </c>
      <c r="L10" s="131">
        <f>IF('Auswertung 2-Schicht'!$H$8=1,Berechnung!I9,IF('Auswertung 2-Schicht'!$H$8=2,Berechnung!N9,Berechnung!S9))</f>
        <v>34.570956339949113</v>
      </c>
      <c r="M10" s="133">
        <f>IF('Auswertung 2-Schicht'!$H$8=1,Berechnung!J9,IF('Auswertung 2-Schicht'!$H$8=2,Berechnung!O9,Berechnung!T9))</f>
        <v>30.070862282515947</v>
      </c>
      <c r="N10" s="82">
        <f t="shared" si="4"/>
        <v>-999</v>
      </c>
      <c r="O10" s="42">
        <f t="shared" si="32"/>
        <v>-999</v>
      </c>
      <c r="P10" s="83">
        <f t="shared" si="33"/>
        <v>-999</v>
      </c>
      <c r="Q10" s="82">
        <f t="shared" si="5"/>
        <v>34.570956339949113</v>
      </c>
      <c r="R10" s="42">
        <f t="shared" si="6"/>
        <v>30.070862282515947</v>
      </c>
      <c r="S10" s="42">
        <f t="shared" si="7"/>
        <v>-999</v>
      </c>
      <c r="T10" s="42">
        <f t="shared" si="8"/>
        <v>-999</v>
      </c>
      <c r="U10" s="42">
        <f t="shared" si="9"/>
        <v>-999</v>
      </c>
      <c r="V10" s="109">
        <f t="shared" si="10"/>
        <v>-999</v>
      </c>
      <c r="W10" s="120" t="str">
        <f>IF(AND($A10&gt;='Auswertung 3-Schicht'!D$3,$A10&lt;='Auswertung 3-Schicht'!D$4),Berechnung!C9,"")</f>
        <v/>
      </c>
      <c r="X10" s="118" t="str">
        <f>IF(AND($A10&gt;='Auswertung 3-Schicht'!E$3,$A10&lt;='Auswertung 3-Schicht'!E$4),Berechnung!D9,"")</f>
        <v/>
      </c>
      <c r="Y10" s="118" t="str">
        <f>IF(AND($A10&gt;='Auswertung 3-Schicht'!F$3,$A10&lt;='Auswertung 3-Schicht'!F$4),Berechnung!E9,"")</f>
        <v/>
      </c>
      <c r="Z10" s="132" t="str">
        <f>IF(AND($A10&gt;='Auswertung 3-Schicht'!G$3,$A10&lt;='Auswertung 3-Schicht'!G$4),Berechnung!F9,"")</f>
        <v/>
      </c>
      <c r="AA10" s="118" t="str">
        <f>IF(AND($A10&gt;='Auswertung 3-Schicht'!H$3,$A10&lt;='Auswertung 3-Schicht'!H$4),Berechnung!K9,"")</f>
        <v/>
      </c>
      <c r="AB10" s="134" t="str">
        <f>IF(AND($A10&gt;='Auswertung 3-Schicht'!I$3,$A10&lt;='Auswertung 3-Schicht'!I$4),Berechnung!L9,"")</f>
        <v/>
      </c>
      <c r="AC10" s="118" t="str">
        <f>IF(AND($A10&gt;='Auswertung 3-Schicht'!J$3,$A10&lt;='Auswertung 3-Schicht'!J$4),Berechnung!P9,"")</f>
        <v/>
      </c>
      <c r="AD10" s="121" t="str">
        <f>IF(AND($A10&gt;='Auswertung 3-Schicht'!K$3,$A10&lt;='Auswertung 3-Schicht'!K$4),Berechnung!Q9,"")</f>
        <v/>
      </c>
      <c r="AE10" s="136">
        <f>IF(AND($A10&gt;='Auswertung 3-Schicht'!D$6,$A10&lt;='Auswertung 3-Schicht'!D$7),Berechnung!C9,"")</f>
        <v>61.860727333190077</v>
      </c>
      <c r="AF10" s="118" t="str">
        <f>IF(AND($A10&gt;='Auswertung 3-Schicht'!E$6,$A10&lt;='Auswertung 3-Schicht'!E$7),Berechnung!D9,"")</f>
        <v/>
      </c>
      <c r="AG10" s="118" t="str">
        <f>IF(AND($A10&gt;='Auswertung 3-Schicht'!F$6,$A10&lt;='Auswertung 3-Schicht'!F$7),Berechnung!E9,"")</f>
        <v/>
      </c>
      <c r="AH10" s="118">
        <f>IF(AND($A10&gt;='Auswertung 3-Schicht'!G$6,$A10&lt;='Auswertung 3-Schicht'!G$7),Berechnung!F9,"")</f>
        <v>35.674423914362258</v>
      </c>
      <c r="AI10" s="118" t="str">
        <f>IF(AND($A10&gt;='Auswertung 3-Schicht'!H$6,$A10&lt;='Auswertung 3-Schicht'!H$7),Berechnung!K9,"")</f>
        <v/>
      </c>
      <c r="AJ10" s="118" t="str">
        <f>IF(AND($A10&gt;='Auswertung 3-Schicht'!I$6,$A10&lt;='Auswertung 3-Schicht'!I$7),Berechnung!L9,"")</f>
        <v/>
      </c>
      <c r="AK10" s="118" t="str">
        <f>IF(AND($A10&gt;='Auswertung 3-Schicht'!J$6,$A10&lt;='Auswertung 3-Schicht'!J$7),Berechnung!P9,"")</f>
        <v/>
      </c>
      <c r="AL10" s="118" t="str">
        <f>IF(AND($A10&gt;='Auswertung 3-Schicht'!K$6,$A10&lt;='Auswertung 3-Schicht'!K$7),Berechnung!Q9,"")</f>
        <v/>
      </c>
      <c r="AM10" s="120" t="str">
        <f>IF(AND($A10&gt;='Auswertung 3-Schicht'!D$10,$A10&lt;='Auswertung 3-Schicht'!D$11),Berechnung!C9,"")</f>
        <v/>
      </c>
      <c r="AN10" s="118" t="str">
        <f>IF(AND($A10&gt;='Auswertung 3-Schicht'!E$10,$A10&lt;='Auswertung 3-Schicht'!E$11),Berechnung!D9,"")</f>
        <v/>
      </c>
      <c r="AO10" s="118">
        <f>IF(AND($A10&gt;='Auswertung 3-Schicht'!F$10,$A10&lt;='Auswertung 3-Schicht'!F$11),Berechnung!E9,"")</f>
        <v>95.601004351725422</v>
      </c>
      <c r="AP10" s="118" t="str">
        <f>IF(AND($A10&gt;='Auswertung 3-Schicht'!G$10,$A10&lt;='Auswertung 3-Schicht'!G$11),Berechnung!F9,"")</f>
        <v/>
      </c>
      <c r="AQ10" s="118" t="str">
        <f>IF(AND($A10&gt;='Auswertung 3-Schicht'!H$10,$A10&lt;='Auswertung 3-Schicht'!H$11),Berechnung!K9,"")</f>
        <v/>
      </c>
      <c r="AR10" s="118" t="str">
        <f>IF(AND($A10&gt;='Auswertung 3-Schicht'!I$10,$A10&lt;='Auswertung 3-Schicht'!I$11),Berechnung!L9,"")</f>
        <v/>
      </c>
      <c r="AS10" s="118" t="str">
        <f>IF(AND($A10&gt;='Auswertung 3-Schicht'!J$10,$A10&lt;='Auswertung 3-Schicht'!J$11),Berechnung!P9,"")</f>
        <v/>
      </c>
      <c r="AT10" s="118" t="str">
        <f>IF(AND($A10&gt;='Auswertung 3-Schicht'!K$10,$A10&lt;='Auswertung 3-Schicht'!K$11),Berechnung!Q9,"")</f>
        <v/>
      </c>
      <c r="AU10" s="82">
        <f t="shared" si="11"/>
        <v>-999</v>
      </c>
      <c r="AV10" s="42">
        <f t="shared" si="12"/>
        <v>-999</v>
      </c>
      <c r="AW10" s="79">
        <f t="shared" si="13"/>
        <v>-999</v>
      </c>
      <c r="AX10" s="79">
        <f t="shared" si="14"/>
        <v>-999</v>
      </c>
      <c r="AY10" s="79">
        <f t="shared" si="15"/>
        <v>-999</v>
      </c>
      <c r="AZ10" s="42">
        <f t="shared" si="16"/>
        <v>-999</v>
      </c>
      <c r="BA10" s="83">
        <f t="shared" si="17"/>
        <v>-999</v>
      </c>
      <c r="BB10" s="80">
        <f t="shared" si="18"/>
        <v>61.860727333190077</v>
      </c>
      <c r="BC10" s="42">
        <f t="shared" si="19"/>
        <v>-999</v>
      </c>
      <c r="BD10" s="42">
        <f t="shared" si="20"/>
        <v>35.674423914362258</v>
      </c>
      <c r="BE10" s="42">
        <f t="shared" si="21"/>
        <v>-999</v>
      </c>
      <c r="BF10" s="42">
        <f t="shared" si="22"/>
        <v>-999</v>
      </c>
      <c r="BG10" s="42">
        <f t="shared" si="23"/>
        <v>-999</v>
      </c>
      <c r="BH10" s="83">
        <f t="shared" si="24"/>
        <v>-999</v>
      </c>
      <c r="BI10" s="82">
        <f t="shared" si="25"/>
        <v>-999</v>
      </c>
      <c r="BJ10" s="42">
        <f t="shared" si="26"/>
        <v>95.601004351725422</v>
      </c>
      <c r="BK10" s="42">
        <f t="shared" si="27"/>
        <v>-999</v>
      </c>
      <c r="BL10" s="42">
        <f t="shared" si="28"/>
        <v>-999</v>
      </c>
      <c r="BM10" s="42">
        <f t="shared" si="29"/>
        <v>-999</v>
      </c>
      <c r="BN10" s="42">
        <f t="shared" si="30"/>
        <v>-999</v>
      </c>
      <c r="BO10" s="83">
        <f t="shared" si="31"/>
        <v>-999</v>
      </c>
      <c r="BP10" s="80">
        <f>IF('Auswertung 2-Schicht'!O$4="",-999,MIN(1000*SQRT((A10+1)^2+AVERAGE(T0_Korrektur!D$1,T0_Korrektur!F$1,T0_Korrektur!H$1)^2)/'Auswertung 2-Schicht'!$O$4,'Auswertung 2-Schicht'!$O$8+1000*SQRT((A10+1)^2+AVERAGE(T0_Korrektur!D$1,T0_Korrektur!F$1,T0_Korrektur!H$1)^2)/'Auswertung 2-Schicht'!$O$7))</f>
        <v>40.19216711682224</v>
      </c>
      <c r="BQ10" s="83">
        <f>IF('Auswertung 3-Schicht'!N$4="",-999,IF('Auswertung 3-Schicht'!N$8="",MIN(1000*SQRT((A10+1)^2+AVERAGE(T0_Korrektur!D$1,T0_Korrektur!F$1,T0_Korrektur!H$1)^2)/'Auswertung 3-Schicht'!N$4,'Auswertung 3-Schicht'!N$6+1000*SQRT((A10+1)^2+AVERAGE(T0_Korrektur!D$1,T0_Korrektur!F$1,T0_Korrektur!H$1)^2)/'Auswertung 3-Schicht'!N$5),MIN(1000*SQRT((A10+1)^2+AVERAGE(T0_Korrektur!D$1,T0_Korrektur!F$1,T0_Korrektur!H$1)^2)/'Auswertung 3-Schicht'!N$4,'Auswertung 3-Schicht'!N$6+1000*SQRT((A10+1)^2+AVERAGE(T0_Korrektur!D$1,T0_Korrektur!F$1,T0_Korrektur!H$1)^2)/'Auswertung 3-Schicht'!N$5,'Auswertung 3-Schicht'!N$9+1000*SQRT((A10+1)^2+AVERAGE(T0_Korrektur!D$1,T0_Korrektur!F$1,T0_Korrektur!H$1)^2)/'Auswertung 3-Schicht'!N$8)))</f>
        <v>32.997659256279917</v>
      </c>
      <c r="BR10" s="82">
        <f>ABS(T0_Korrektur!C9)</f>
        <v>76.268948465283046</v>
      </c>
      <c r="BS10" s="42">
        <f>ABS(T0_Korrektur!E9)</f>
        <v>175.00731413286704</v>
      </c>
      <c r="BT10" s="42">
        <f>ABS(T0_Korrektur!I9)</f>
        <v>999</v>
      </c>
      <c r="BU10" s="79">
        <f>ABS(T0_Korrektur!M9)</f>
        <v>999</v>
      </c>
      <c r="BV10" s="120">
        <f>IF(T0_Korrektur!H9="","",T0_Korrektur!H9-Hilfsdaten!BP10)</f>
        <v>-4.4037671168222374</v>
      </c>
      <c r="BW10" s="118">
        <f>IF(T0_Korrektur!D33="","",T0_Korrektur!D33-Hilfsdaten!BP10)</f>
        <v>-6.9345671168222438</v>
      </c>
      <c r="BX10" s="118">
        <f>IF(T0_Korrektur!D20="","",T0_Korrektur!D20-Hilfsdaten!BP10)</f>
        <v>-8.1610671168222382</v>
      </c>
      <c r="BY10" s="118">
        <f>IF(T0_Korrektur!F50="","",T0_Korrektur!F50-Hilfsdaten!BP10)</f>
        <v>-34.735387116822238</v>
      </c>
      <c r="BZ10" s="120">
        <f>IF(T0_Korrektur!H9="","",T0_Korrektur!H9-Hilfsdaten!BQ10)</f>
        <v>2.790740743720086</v>
      </c>
      <c r="CA10" s="118">
        <f>IF(T0_Korrektur!D33="","",T0_Korrektur!D33-Hilfsdaten!BQ10)</f>
        <v>0.25994074372007958</v>
      </c>
      <c r="CB10" s="118">
        <f>IF(T0_Korrektur!D20="","",T0_Korrektur!D20-Hilfsdaten!BQ10)</f>
        <v>-0.96655925627991479</v>
      </c>
      <c r="CC10" s="121">
        <f>IF(T0_Korrektur!F50="","",T0_Korrektur!F50-Hilfsdaten!BQ10)</f>
        <v>-27.540879256279915</v>
      </c>
      <c r="CD10" s="115"/>
    </row>
    <row r="11" spans="1:84" x14ac:dyDescent="0.2">
      <c r="A11" s="130">
        <f>'Picks importieren'!B11</f>
        <v>25</v>
      </c>
      <c r="B11" s="120" t="str">
        <f>IF(AND($A11&gt;='Auswertung 2-Schicht'!C$3,$A11&lt;='Auswertung 2-Schicht'!C$4),Berechnung!C10,"")</f>
        <v/>
      </c>
      <c r="C11" s="118" t="str">
        <f>IF(AND($A11&gt;='Auswertung 2-Schicht'!D$3,$A11&lt;='Auswertung 2-Schicht'!D$4),Berechnung!D10,"")</f>
        <v/>
      </c>
      <c r="D11" s="118" t="str">
        <f>IF(AND($A11&gt;='Auswertung 2-Schicht'!E$3,$A11&lt;='Auswertung 2-Schicht'!E$4),Berechnung!G10,"")</f>
        <v/>
      </c>
      <c r="E11" s="121" t="str">
        <f>IF(AND($A11&gt;='Auswertung 2-Schicht'!F$3,$A11&lt;='Auswertung 2-Schicht'!F$4),Berechnung!F10,"")</f>
        <v/>
      </c>
      <c r="F11" s="131">
        <f>IF(AND($A11&gt;='Auswertung 2-Schicht'!H$3,$A11&lt;='Auswertung 2-Schicht'!H$4),IF('Auswertung 2-Schicht'!$H$8=1,Berechnung!I10,IF('Auswertung 2-Schicht'!$H$8=2,Berechnung!N10,Berechnung!S10)),"")</f>
        <v>38.409289777132052</v>
      </c>
      <c r="G11" s="118">
        <f>IF(AND($A11&gt;='Auswertung 2-Schicht'!H$3,$A11&lt;='Auswertung 2-Schicht'!H$4),IF('Auswertung 2-Schicht'!$H$8=1,Berechnung!J10,IF('Auswertung 2-Schicht'!$H$8=2,Berechnung!O10,Berechnung!T10)),"")</f>
        <v>31.455827399996991</v>
      </c>
      <c r="H11" s="118" t="str">
        <f>IF(AND($A11&gt;='Auswertung 2-Schicht'!I$3,$A11&lt;='Auswertung 2-Schicht'!I$4),Berechnung!K10,"")</f>
        <v/>
      </c>
      <c r="I11" s="132" t="str">
        <f>IF(AND($A11&gt;='Auswertung 2-Schicht'!J$3,$A11&lt;='Auswertung 2-Schicht'!J$4),Berechnung!L10,"")</f>
        <v/>
      </c>
      <c r="J11" s="118" t="str">
        <f>IF(AND($A11&gt;='Auswertung 2-Schicht'!K$3,$A11&lt;='Auswertung 2-Schicht'!K$4),Berechnung!P10,"")</f>
        <v/>
      </c>
      <c r="K11" s="134" t="str">
        <f>IF(AND($A11&gt;='Auswertung 2-Schicht'!L$3,$A11&lt;='Auswertung 2-Schicht'!L$4),Berechnung!Q10,"")</f>
        <v/>
      </c>
      <c r="L11" s="131">
        <f>IF('Auswertung 2-Schicht'!$H$8=1,Berechnung!I10,IF('Auswertung 2-Schicht'!$H$8=2,Berechnung!N10,Berechnung!S10))</f>
        <v>38.409289777132052</v>
      </c>
      <c r="M11" s="133">
        <f>IF('Auswertung 2-Schicht'!$H$8=1,Berechnung!J10,IF('Auswertung 2-Schicht'!$H$8=2,Berechnung!O10,Berechnung!T10))</f>
        <v>31.455827399996991</v>
      </c>
      <c r="N11" s="82">
        <f t="shared" si="4"/>
        <v>-999</v>
      </c>
      <c r="O11" s="42">
        <f t="shared" si="32"/>
        <v>-999</v>
      </c>
      <c r="P11" s="83">
        <f t="shared" si="33"/>
        <v>-999</v>
      </c>
      <c r="Q11" s="82">
        <f t="shared" si="5"/>
        <v>38.409289777132052</v>
      </c>
      <c r="R11" s="42">
        <f t="shared" si="6"/>
        <v>31.455827399996991</v>
      </c>
      <c r="S11" s="42">
        <f t="shared" si="7"/>
        <v>-999</v>
      </c>
      <c r="T11" s="42">
        <f t="shared" si="8"/>
        <v>-999</v>
      </c>
      <c r="U11" s="42">
        <f t="shared" si="9"/>
        <v>-999</v>
      </c>
      <c r="V11" s="109">
        <f t="shared" si="10"/>
        <v>-999</v>
      </c>
      <c r="W11" s="120" t="str">
        <f>IF(AND($A11&gt;='Auswertung 3-Schicht'!D$3,$A11&lt;='Auswertung 3-Schicht'!D$4),Berechnung!C10,"")</f>
        <v/>
      </c>
      <c r="X11" s="118" t="str">
        <f>IF(AND($A11&gt;='Auswertung 3-Schicht'!E$3,$A11&lt;='Auswertung 3-Schicht'!E$4),Berechnung!D10,"")</f>
        <v/>
      </c>
      <c r="Y11" s="118" t="str">
        <f>IF(AND($A11&gt;='Auswertung 3-Schicht'!F$3,$A11&lt;='Auswertung 3-Schicht'!F$4),Berechnung!E10,"")</f>
        <v/>
      </c>
      <c r="Z11" s="132" t="str">
        <f>IF(AND($A11&gt;='Auswertung 3-Schicht'!G$3,$A11&lt;='Auswertung 3-Schicht'!G$4),Berechnung!F10,"")</f>
        <v/>
      </c>
      <c r="AA11" s="118" t="str">
        <f>IF(AND($A11&gt;='Auswertung 3-Schicht'!H$3,$A11&lt;='Auswertung 3-Schicht'!H$4),Berechnung!K10,"")</f>
        <v/>
      </c>
      <c r="AB11" s="134" t="str">
        <f>IF(AND($A11&gt;='Auswertung 3-Schicht'!I$3,$A11&lt;='Auswertung 3-Schicht'!I$4),Berechnung!L10,"")</f>
        <v/>
      </c>
      <c r="AC11" s="118" t="str">
        <f>IF(AND($A11&gt;='Auswertung 3-Schicht'!J$3,$A11&lt;='Auswertung 3-Schicht'!J$4),Berechnung!P10,"")</f>
        <v/>
      </c>
      <c r="AD11" s="121" t="str">
        <f>IF(AND($A11&gt;='Auswertung 3-Schicht'!K$3,$A11&lt;='Auswertung 3-Schicht'!K$4),Berechnung!Q10,"")</f>
        <v/>
      </c>
      <c r="AE11" s="136">
        <f>IF(AND($A11&gt;='Auswertung 3-Schicht'!D$6,$A11&lt;='Auswertung 3-Schicht'!D$7),Berechnung!C10,"")</f>
        <v>59.814876630525745</v>
      </c>
      <c r="AF11" s="118" t="str">
        <f>IF(AND($A11&gt;='Auswertung 3-Schicht'!E$6,$A11&lt;='Auswertung 3-Schicht'!E$7),Berechnung!D10,"")</f>
        <v/>
      </c>
      <c r="AG11" s="118" t="str">
        <f>IF(AND($A11&gt;='Auswertung 3-Schicht'!F$6,$A11&lt;='Auswertung 3-Schicht'!F$7),Berechnung!E10,"")</f>
        <v/>
      </c>
      <c r="AH11" s="118">
        <f>IF(AND($A11&gt;='Auswertung 3-Schicht'!G$6,$A11&lt;='Auswertung 3-Schicht'!G$7),Berechnung!F10,"")</f>
        <v>38.28607319169425</v>
      </c>
      <c r="AI11" s="118" t="str">
        <f>IF(AND($A11&gt;='Auswertung 3-Schicht'!H$6,$A11&lt;='Auswertung 3-Schicht'!H$7),Berechnung!K10,"")</f>
        <v/>
      </c>
      <c r="AJ11" s="118" t="str">
        <f>IF(AND($A11&gt;='Auswertung 3-Schicht'!I$6,$A11&lt;='Auswertung 3-Schicht'!I$7),Berechnung!L10,"")</f>
        <v/>
      </c>
      <c r="AK11" s="118" t="str">
        <f>IF(AND($A11&gt;='Auswertung 3-Schicht'!J$6,$A11&lt;='Auswertung 3-Schicht'!J$7),Berechnung!P10,"")</f>
        <v/>
      </c>
      <c r="AL11" s="118" t="str">
        <f>IF(AND($A11&gt;='Auswertung 3-Schicht'!K$6,$A11&lt;='Auswertung 3-Schicht'!K$7),Berechnung!Q10,"")</f>
        <v/>
      </c>
      <c r="AM11" s="120" t="str">
        <f>IF(AND($A11&gt;='Auswertung 3-Schicht'!D$10,$A11&lt;='Auswertung 3-Schicht'!D$11),Berechnung!C10,"")</f>
        <v/>
      </c>
      <c r="AN11" s="118" t="str">
        <f>IF(AND($A11&gt;='Auswertung 3-Schicht'!E$10,$A11&lt;='Auswertung 3-Schicht'!E$11),Berechnung!D10,"")</f>
        <v/>
      </c>
      <c r="AO11" s="118">
        <f>IF(AND($A11&gt;='Auswertung 3-Schicht'!F$10,$A11&lt;='Auswertung 3-Schicht'!F$11),Berechnung!E10,"")</f>
        <v>94.374320191874475</v>
      </c>
      <c r="AP11" s="118" t="str">
        <f>IF(AND($A11&gt;='Auswertung 3-Schicht'!G$10,$A11&lt;='Auswertung 3-Schicht'!G$11),Berechnung!F10,"")</f>
        <v/>
      </c>
      <c r="AQ11" s="118" t="str">
        <f>IF(AND($A11&gt;='Auswertung 3-Schicht'!H$10,$A11&lt;='Auswertung 3-Schicht'!H$11),Berechnung!K10,"")</f>
        <v/>
      </c>
      <c r="AR11" s="118" t="str">
        <f>IF(AND($A11&gt;='Auswertung 3-Schicht'!I$10,$A11&lt;='Auswertung 3-Schicht'!I$11),Berechnung!L10,"")</f>
        <v/>
      </c>
      <c r="AS11" s="118" t="str">
        <f>IF(AND($A11&gt;='Auswertung 3-Schicht'!J$10,$A11&lt;='Auswertung 3-Schicht'!J$11),Berechnung!P10,"")</f>
        <v/>
      </c>
      <c r="AT11" s="118" t="str">
        <f>IF(AND($A11&gt;='Auswertung 3-Schicht'!K$10,$A11&lt;='Auswertung 3-Schicht'!K$11),Berechnung!Q10,"")</f>
        <v/>
      </c>
      <c r="AU11" s="82">
        <f t="shared" si="11"/>
        <v>-999</v>
      </c>
      <c r="AV11" s="42">
        <f t="shared" si="12"/>
        <v>-999</v>
      </c>
      <c r="AW11" s="79">
        <f t="shared" si="13"/>
        <v>-999</v>
      </c>
      <c r="AX11" s="79">
        <f t="shared" si="14"/>
        <v>-999</v>
      </c>
      <c r="AY11" s="79">
        <f t="shared" si="15"/>
        <v>-999</v>
      </c>
      <c r="AZ11" s="42">
        <f t="shared" si="16"/>
        <v>-999</v>
      </c>
      <c r="BA11" s="83">
        <f t="shared" si="17"/>
        <v>-999</v>
      </c>
      <c r="BB11" s="80">
        <f t="shared" si="18"/>
        <v>59.814876630525745</v>
      </c>
      <c r="BC11" s="42">
        <f t="shared" si="19"/>
        <v>-999</v>
      </c>
      <c r="BD11" s="42">
        <f t="shared" si="20"/>
        <v>38.28607319169425</v>
      </c>
      <c r="BE11" s="42">
        <f t="shared" si="21"/>
        <v>-999</v>
      </c>
      <c r="BF11" s="42">
        <f t="shared" si="22"/>
        <v>-999</v>
      </c>
      <c r="BG11" s="42">
        <f t="shared" si="23"/>
        <v>-999</v>
      </c>
      <c r="BH11" s="83">
        <f t="shared" si="24"/>
        <v>-999</v>
      </c>
      <c r="BI11" s="82">
        <f t="shared" si="25"/>
        <v>-999</v>
      </c>
      <c r="BJ11" s="42">
        <f t="shared" si="26"/>
        <v>94.374320191874475</v>
      </c>
      <c r="BK11" s="42">
        <f t="shared" si="27"/>
        <v>-999</v>
      </c>
      <c r="BL11" s="42">
        <f t="shared" si="28"/>
        <v>-999</v>
      </c>
      <c r="BM11" s="42">
        <f t="shared" si="29"/>
        <v>-999</v>
      </c>
      <c r="BN11" s="42">
        <f t="shared" si="30"/>
        <v>-999</v>
      </c>
      <c r="BO11" s="83">
        <f t="shared" si="31"/>
        <v>-999</v>
      </c>
      <c r="BP11" s="80">
        <f>IF('Auswertung 2-Schicht'!O$4="",-999,MIN(1000*SQRT((A11+1)^2+AVERAGE(T0_Korrektur!D$1,T0_Korrektur!F$1,T0_Korrektur!H$1)^2)/'Auswertung 2-Schicht'!$O$4,'Auswertung 2-Schicht'!$O$8+1000*SQRT((A11+1)^2+AVERAGE(T0_Korrektur!D$1,T0_Korrektur!F$1,T0_Korrektur!H$1)^2)/'Auswertung 2-Schicht'!$O$7))</f>
        <v>47.292873895614385</v>
      </c>
      <c r="BQ11" s="83">
        <f>IF('Auswertung 3-Schicht'!N$4="",-999,IF('Auswertung 3-Schicht'!N$8="",MIN(1000*SQRT((A11+1)^2+AVERAGE(T0_Korrektur!D$1,T0_Korrektur!F$1,T0_Korrektur!H$1)^2)/'Auswertung 3-Schicht'!N$4,'Auswertung 3-Schicht'!N$6+1000*SQRT((A11+1)^2+AVERAGE(T0_Korrektur!D$1,T0_Korrektur!F$1,T0_Korrektur!H$1)^2)/'Auswertung 3-Schicht'!N$5),MIN(1000*SQRT((A11+1)^2+AVERAGE(T0_Korrektur!D$1,T0_Korrektur!F$1,T0_Korrektur!H$1)^2)/'Auswertung 3-Schicht'!N$4,'Auswertung 3-Schicht'!N$6+1000*SQRT((A11+1)^2+AVERAGE(T0_Korrektur!D$1,T0_Korrektur!F$1,T0_Korrektur!H$1)^2)/'Auswertung 3-Schicht'!N$5,'Auswertung 3-Schicht'!N$9+1000*SQRT((A11+1)^2+AVERAGE(T0_Korrektur!D$1,T0_Korrektur!F$1,T0_Korrektur!H$1)^2)/'Auswertung 3-Schicht'!N$8)))</f>
        <v>35.707250958785579</v>
      </c>
      <c r="BR11" s="82">
        <f>ABS(T0_Korrektur!C10)</f>
        <v>71.270277816211717</v>
      </c>
      <c r="BS11" s="42">
        <f>ABS(T0_Korrektur!E10)</f>
        <v>170.00752924503081</v>
      </c>
      <c r="BT11" s="42">
        <f>ABS(T0_Korrektur!I10)</f>
        <v>999</v>
      </c>
      <c r="BU11" s="79">
        <f>ABS(T0_Korrektur!M10)</f>
        <v>999</v>
      </c>
      <c r="BV11" s="120">
        <f>IF(T0_Korrektur!H10="","",T0_Korrektur!H10-Hilfsdaten!BP11)</f>
        <v>-8.9248738956143825</v>
      </c>
      <c r="BW11" s="118">
        <f>IF(T0_Korrektur!D34="","",T0_Korrektur!D34-Hilfsdaten!BP11)</f>
        <v>-10.840973895614383</v>
      </c>
      <c r="BX11" s="118">
        <f>IF(T0_Korrektur!D19="","",T0_Korrektur!D19-Hilfsdaten!BP11)</f>
        <v>-12.241073895614385</v>
      </c>
      <c r="BY11" s="118">
        <f>IF(T0_Korrektur!F49="","",T0_Korrektur!F49-Hilfsdaten!BP11)</f>
        <v>-36.521273895614385</v>
      </c>
      <c r="BZ11" s="120">
        <f>IF(T0_Korrektur!H10="","",T0_Korrektur!H10-Hilfsdaten!BQ11)</f>
        <v>2.660749041214423</v>
      </c>
      <c r="CA11" s="118">
        <f>IF(T0_Korrektur!D34="","",T0_Korrektur!D34-Hilfsdaten!BQ11)</f>
        <v>0.74464904121442288</v>
      </c>
      <c r="CB11" s="118">
        <f>IF(T0_Korrektur!D19="","",T0_Korrektur!D19-Hilfsdaten!BQ11)</f>
        <v>-0.65545095878557902</v>
      </c>
      <c r="CC11" s="121">
        <f>IF(T0_Korrektur!F49="","",T0_Korrektur!F49-Hilfsdaten!BQ11)</f>
        <v>-24.93565095878558</v>
      </c>
      <c r="CD11" s="115"/>
    </row>
    <row r="12" spans="1:84" x14ac:dyDescent="0.2">
      <c r="A12" s="130">
        <f>'Picks importieren'!B12</f>
        <v>30</v>
      </c>
      <c r="B12" s="120" t="str">
        <f>IF(AND($A12&gt;='Auswertung 2-Schicht'!C$3,$A12&lt;='Auswertung 2-Schicht'!C$4),Berechnung!C11,"")</f>
        <v/>
      </c>
      <c r="C12" s="118" t="str">
        <f>IF(AND($A12&gt;='Auswertung 2-Schicht'!D$3,$A12&lt;='Auswertung 2-Schicht'!D$4),Berechnung!D11,"")</f>
        <v/>
      </c>
      <c r="D12" s="118" t="str">
        <f>IF(AND($A12&gt;='Auswertung 2-Schicht'!E$3,$A12&lt;='Auswertung 2-Schicht'!E$4),Berechnung!G11,"")</f>
        <v/>
      </c>
      <c r="E12" s="121" t="str">
        <f>IF(AND($A12&gt;='Auswertung 2-Schicht'!F$3,$A12&lt;='Auswertung 2-Schicht'!F$4),Berechnung!F11,"")</f>
        <v/>
      </c>
      <c r="F12" s="131">
        <f>IF(AND($A12&gt;='Auswertung 2-Schicht'!H$3,$A12&lt;='Auswertung 2-Schicht'!H$4),IF('Auswertung 2-Schicht'!$H$8=1,Berechnung!I11,IF('Auswertung 2-Schicht'!$H$8=2,Berechnung!N11,Berechnung!S11)),"")</f>
        <v>43.06629452508524</v>
      </c>
      <c r="G12" s="118">
        <f>IF(AND($A12&gt;='Auswertung 2-Schicht'!H$3,$A12&lt;='Auswertung 2-Schicht'!H$4),IF('Auswertung 2-Schicht'!$H$8=1,Berechnung!J11,IF('Auswertung 2-Schicht'!$H$8=2,Berechnung!O11,Berechnung!T11)),"")</f>
        <v>32.432890850835662</v>
      </c>
      <c r="H12" s="118" t="str">
        <f>IF(AND($A12&gt;='Auswertung 2-Schicht'!I$3,$A12&lt;='Auswertung 2-Schicht'!I$4),Berechnung!K11,"")</f>
        <v/>
      </c>
      <c r="I12" s="132" t="str">
        <f>IF(AND($A12&gt;='Auswertung 2-Schicht'!J$3,$A12&lt;='Auswertung 2-Schicht'!J$4),Berechnung!L11,"")</f>
        <v/>
      </c>
      <c r="J12" s="118" t="str">
        <f>IF(AND($A12&gt;='Auswertung 2-Schicht'!K$3,$A12&lt;='Auswertung 2-Schicht'!K$4),Berechnung!P11,"")</f>
        <v/>
      </c>
      <c r="K12" s="134" t="str">
        <f>IF(AND($A12&gt;='Auswertung 2-Schicht'!L$3,$A12&lt;='Auswertung 2-Schicht'!L$4),Berechnung!Q11,"")</f>
        <v/>
      </c>
      <c r="L12" s="131">
        <f>IF('Auswertung 2-Schicht'!$H$8=1,Berechnung!I11,IF('Auswertung 2-Schicht'!$H$8=2,Berechnung!N11,Berechnung!S11))</f>
        <v>43.06629452508524</v>
      </c>
      <c r="M12" s="133">
        <f>IF('Auswertung 2-Schicht'!$H$8=1,Berechnung!J11,IF('Auswertung 2-Schicht'!$H$8=2,Berechnung!O11,Berechnung!T11))</f>
        <v>32.432890850835662</v>
      </c>
      <c r="N12" s="82">
        <f t="shared" si="4"/>
        <v>-999</v>
      </c>
      <c r="O12" s="42">
        <f t="shared" si="32"/>
        <v>-999</v>
      </c>
      <c r="P12" s="83">
        <f t="shared" si="33"/>
        <v>-999</v>
      </c>
      <c r="Q12" s="82">
        <f t="shared" si="5"/>
        <v>43.06629452508524</v>
      </c>
      <c r="R12" s="42">
        <f t="shared" si="6"/>
        <v>32.432890850835662</v>
      </c>
      <c r="S12" s="42">
        <f t="shared" si="7"/>
        <v>-999</v>
      </c>
      <c r="T12" s="42">
        <f t="shared" si="8"/>
        <v>-999</v>
      </c>
      <c r="U12" s="42">
        <f t="shared" si="9"/>
        <v>-999</v>
      </c>
      <c r="V12" s="109">
        <f t="shared" si="10"/>
        <v>-999</v>
      </c>
      <c r="W12" s="120" t="str">
        <f>IF(AND($A12&gt;='Auswertung 3-Schicht'!D$3,$A12&lt;='Auswertung 3-Schicht'!D$4),Berechnung!C11,"")</f>
        <v/>
      </c>
      <c r="X12" s="118" t="str">
        <f>IF(AND($A12&gt;='Auswertung 3-Schicht'!E$3,$A12&lt;='Auswertung 3-Schicht'!E$4),Berechnung!D11,"")</f>
        <v/>
      </c>
      <c r="Y12" s="118" t="str">
        <f>IF(AND($A12&gt;='Auswertung 3-Schicht'!F$3,$A12&lt;='Auswertung 3-Schicht'!F$4),Berechnung!E11,"")</f>
        <v/>
      </c>
      <c r="Z12" s="132" t="str">
        <f>IF(AND($A12&gt;='Auswertung 3-Schicht'!G$3,$A12&lt;='Auswertung 3-Schicht'!G$4),Berechnung!F11,"")</f>
        <v/>
      </c>
      <c r="AA12" s="118" t="str">
        <f>IF(AND($A12&gt;='Auswertung 3-Schicht'!H$3,$A12&lt;='Auswertung 3-Schicht'!H$4),Berechnung!K11,"")</f>
        <v/>
      </c>
      <c r="AB12" s="134" t="str">
        <f>IF(AND($A12&gt;='Auswertung 3-Schicht'!I$3,$A12&lt;='Auswertung 3-Schicht'!I$4),Berechnung!L11,"")</f>
        <v/>
      </c>
      <c r="AC12" s="118" t="str">
        <f>IF(AND($A12&gt;='Auswertung 3-Schicht'!J$3,$A12&lt;='Auswertung 3-Schicht'!J$4),Berechnung!P11,"")</f>
        <v/>
      </c>
      <c r="AD12" s="121" t="str">
        <f>IF(AND($A12&gt;='Auswertung 3-Schicht'!K$3,$A12&lt;='Auswertung 3-Schicht'!K$4),Berechnung!Q11,"")</f>
        <v/>
      </c>
      <c r="AE12" s="136">
        <f>IF(AND($A12&gt;='Auswertung 3-Schicht'!D$6,$A12&lt;='Auswertung 3-Schicht'!D$7),Berechnung!C11,"")</f>
        <v>57.155685873949466</v>
      </c>
      <c r="AF12" s="118" t="str">
        <f>IF(AND($A12&gt;='Auswertung 3-Schicht'!E$6,$A12&lt;='Auswertung 3-Schicht'!E$7),Berechnung!D11,"")</f>
        <v/>
      </c>
      <c r="AG12" s="118" t="str">
        <f>IF(AND($A12&gt;='Auswertung 3-Schicht'!F$6,$A12&lt;='Auswertung 3-Schicht'!F$7),Berechnung!E11,"")</f>
        <v/>
      </c>
      <c r="AH12" s="118">
        <f>IF(AND($A12&gt;='Auswertung 3-Schicht'!G$6,$A12&lt;='Auswertung 3-Schicht'!G$7),Berechnung!F11,"")</f>
        <v>41.103107291090183</v>
      </c>
      <c r="AI12" s="118" t="str">
        <f>IF(AND($A12&gt;='Auswertung 3-Schicht'!H$6,$A12&lt;='Auswertung 3-Schicht'!H$7),Berechnung!K11,"")</f>
        <v/>
      </c>
      <c r="AJ12" s="118" t="str">
        <f>IF(AND($A12&gt;='Auswertung 3-Schicht'!I$6,$A12&lt;='Auswertung 3-Schicht'!I$7),Berechnung!L11,"")</f>
        <v/>
      </c>
      <c r="AK12" s="118" t="str">
        <f>IF(AND($A12&gt;='Auswertung 3-Schicht'!J$6,$A12&lt;='Auswertung 3-Schicht'!J$7),Berechnung!P11,"")</f>
        <v/>
      </c>
      <c r="AL12" s="118" t="str">
        <f>IF(AND($A12&gt;='Auswertung 3-Schicht'!K$6,$A12&lt;='Auswertung 3-Schicht'!K$7),Berechnung!Q11,"")</f>
        <v/>
      </c>
      <c r="AM12" s="120" t="str">
        <f>IF(AND($A12&gt;='Auswertung 3-Schicht'!D$10,$A12&lt;='Auswertung 3-Schicht'!D$11),Berechnung!C11,"")</f>
        <v/>
      </c>
      <c r="AN12" s="118" t="str">
        <f>IF(AND($A12&gt;='Auswertung 3-Schicht'!E$10,$A12&lt;='Auswertung 3-Schicht'!E$11),Berechnung!D11,"")</f>
        <v/>
      </c>
      <c r="AO12" s="118">
        <f>IF(AND($A12&gt;='Auswertung 3-Schicht'!F$10,$A12&lt;='Auswertung 3-Schicht'!F$11),Berechnung!E11,"")</f>
        <v>92.534349543317219</v>
      </c>
      <c r="AP12" s="118" t="str">
        <f>IF(AND($A12&gt;='Auswertung 3-Schicht'!G$10,$A12&lt;='Auswertung 3-Schicht'!G$11),Berechnung!F11,"")</f>
        <v/>
      </c>
      <c r="AQ12" s="118" t="str">
        <f>IF(AND($A12&gt;='Auswertung 3-Schicht'!H$10,$A12&lt;='Auswertung 3-Schicht'!H$11),Berechnung!K11,"")</f>
        <v/>
      </c>
      <c r="AR12" s="118" t="str">
        <f>IF(AND($A12&gt;='Auswertung 3-Schicht'!I$10,$A12&lt;='Auswertung 3-Schicht'!I$11),Berechnung!L11,"")</f>
        <v/>
      </c>
      <c r="AS12" s="118" t="str">
        <f>IF(AND($A12&gt;='Auswertung 3-Schicht'!J$10,$A12&lt;='Auswertung 3-Schicht'!J$11),Berechnung!P11,"")</f>
        <v/>
      </c>
      <c r="AT12" s="118" t="str">
        <f>IF(AND($A12&gt;='Auswertung 3-Schicht'!K$10,$A12&lt;='Auswertung 3-Schicht'!K$11),Berechnung!Q11,"")</f>
        <v/>
      </c>
      <c r="AU12" s="82">
        <f t="shared" si="11"/>
        <v>-999</v>
      </c>
      <c r="AV12" s="42">
        <f t="shared" si="12"/>
        <v>-999</v>
      </c>
      <c r="AW12" s="79">
        <f t="shared" si="13"/>
        <v>-999</v>
      </c>
      <c r="AX12" s="79">
        <f t="shared" si="14"/>
        <v>-999</v>
      </c>
      <c r="AY12" s="79">
        <f t="shared" si="15"/>
        <v>-999</v>
      </c>
      <c r="AZ12" s="42">
        <f t="shared" si="16"/>
        <v>-999</v>
      </c>
      <c r="BA12" s="83">
        <f t="shared" si="17"/>
        <v>-999</v>
      </c>
      <c r="BB12" s="80">
        <f t="shared" si="18"/>
        <v>57.155685873949466</v>
      </c>
      <c r="BC12" s="42">
        <f t="shared" si="19"/>
        <v>-999</v>
      </c>
      <c r="BD12" s="42">
        <f t="shared" si="20"/>
        <v>41.103107291090183</v>
      </c>
      <c r="BE12" s="42">
        <f t="shared" si="21"/>
        <v>-999</v>
      </c>
      <c r="BF12" s="42">
        <f t="shared" si="22"/>
        <v>-999</v>
      </c>
      <c r="BG12" s="42">
        <f t="shared" si="23"/>
        <v>-999</v>
      </c>
      <c r="BH12" s="83">
        <f t="shared" si="24"/>
        <v>-999</v>
      </c>
      <c r="BI12" s="82">
        <f t="shared" si="25"/>
        <v>-999</v>
      </c>
      <c r="BJ12" s="42">
        <f t="shared" si="26"/>
        <v>92.534349543317219</v>
      </c>
      <c r="BK12" s="42">
        <f t="shared" si="27"/>
        <v>-999</v>
      </c>
      <c r="BL12" s="42">
        <f t="shared" si="28"/>
        <v>-999</v>
      </c>
      <c r="BM12" s="42">
        <f t="shared" si="29"/>
        <v>-999</v>
      </c>
      <c r="BN12" s="42">
        <f t="shared" si="30"/>
        <v>-999</v>
      </c>
      <c r="BO12" s="83">
        <f t="shared" si="31"/>
        <v>-999</v>
      </c>
      <c r="BP12" s="80">
        <f>IF('Auswertung 2-Schicht'!O$4="",-999,MIN(1000*SQRT((A12+1)^2+AVERAGE(T0_Korrektur!D$1,T0_Korrektur!F$1,T0_Korrektur!H$1)^2)/'Auswertung 2-Schicht'!$O$4,'Auswertung 2-Schicht'!$O$8+1000*SQRT((A12+1)^2+AVERAGE(T0_Korrektur!D$1,T0_Korrektur!F$1,T0_Korrektur!H$1)^2)/'Auswertung 2-Schicht'!$O$7))</f>
        <v>49.242447487936943</v>
      </c>
      <c r="BQ12" s="83">
        <f>IF('Auswertung 3-Schicht'!N$4="",-999,IF('Auswertung 3-Schicht'!N$8="",MIN(1000*SQRT((A12+1)^2+AVERAGE(T0_Korrektur!D$1,T0_Korrektur!F$1,T0_Korrektur!H$1)^2)/'Auswertung 3-Schicht'!N$4,'Auswertung 3-Schicht'!N$6+1000*SQRT((A12+1)^2+AVERAGE(T0_Korrektur!D$1,T0_Korrektur!F$1,T0_Korrektur!H$1)^2)/'Auswertung 3-Schicht'!N$5),MIN(1000*SQRT((A12+1)^2+AVERAGE(T0_Korrektur!D$1,T0_Korrektur!F$1,T0_Korrektur!H$1)^2)/'Auswertung 3-Schicht'!N$4,'Auswertung 3-Schicht'!N$6+1000*SQRT((A12+1)^2+AVERAGE(T0_Korrektur!D$1,T0_Korrektur!F$1,T0_Korrektur!H$1)^2)/'Auswertung 3-Schicht'!N$5,'Auswertung 3-Schicht'!N$9+1000*SQRT((A12+1)^2+AVERAGE(T0_Korrektur!D$1,T0_Korrektur!F$1,T0_Korrektur!H$1)^2)/'Auswertung 3-Schicht'!N$8)))</f>
        <v>38.419146343319298</v>
      </c>
      <c r="BR12" s="82">
        <f>ABS(T0_Korrektur!C11)</f>
        <v>66.271807731493183</v>
      </c>
      <c r="BS12" s="42">
        <f>ABS(T0_Korrektur!E11)</f>
        <v>165.00775739340258</v>
      </c>
      <c r="BT12" s="42">
        <f>ABS(T0_Korrektur!I11)</f>
        <v>999</v>
      </c>
      <c r="BU12" s="79">
        <f>ABS(T0_Korrektur!M11)</f>
        <v>999</v>
      </c>
      <c r="BV12" s="120">
        <f>IF(T0_Korrektur!H11="","",T0_Korrektur!H11-Hilfsdaten!BP12)</f>
        <v>-8.0763474879369426</v>
      </c>
      <c r="BW12" s="118">
        <f>IF(T0_Korrektur!D35="","",T0_Korrektur!D35-Hilfsdaten!BP12)</f>
        <v>-10.256147487936943</v>
      </c>
      <c r="BX12" s="118">
        <f>IF(T0_Korrektur!D18="","",T0_Korrektur!D18-Hilfsdaten!BP12)</f>
        <v>-11.166447487936942</v>
      </c>
      <c r="BY12" s="118">
        <f>IF(T0_Korrektur!F48="","",T0_Korrektur!F48-Hilfsdaten!BP12)</f>
        <v>-34.178047487936944</v>
      </c>
      <c r="BZ12" s="120">
        <f>IF(T0_Korrektur!H11="","",T0_Korrektur!H11-Hilfsdaten!BQ12)</f>
        <v>2.7469536566807022</v>
      </c>
      <c r="CA12" s="118">
        <f>IF(T0_Korrektur!D35="","",T0_Korrektur!D35-Hilfsdaten!BQ12)</f>
        <v>0.56715365668070206</v>
      </c>
      <c r="CB12" s="118">
        <f>IF(T0_Korrektur!D18="","",T0_Korrektur!D18-Hilfsdaten!BQ12)</f>
        <v>-0.34314634331929739</v>
      </c>
      <c r="CC12" s="121">
        <f>IF(T0_Korrektur!F48="","",T0_Korrektur!F48-Hilfsdaten!BQ12)</f>
        <v>-23.354746343319299</v>
      </c>
      <c r="CD12" s="115"/>
    </row>
    <row r="13" spans="1:84" x14ac:dyDescent="0.2">
      <c r="A13" s="130">
        <f>'Picks importieren'!B13</f>
        <v>35</v>
      </c>
      <c r="B13" s="120" t="str">
        <f>IF(AND($A13&gt;='Auswertung 2-Schicht'!C$3,$A13&lt;='Auswertung 2-Schicht'!C$4),Berechnung!C12,"")</f>
        <v/>
      </c>
      <c r="C13" s="118" t="str">
        <f>IF(AND($A13&gt;='Auswertung 2-Schicht'!D$3,$A13&lt;='Auswertung 2-Schicht'!D$4),Berechnung!D12,"")</f>
        <v/>
      </c>
      <c r="D13" s="118" t="str">
        <f>IF(AND($A13&gt;='Auswertung 2-Schicht'!E$3,$A13&lt;='Auswertung 2-Schicht'!E$4),Berechnung!G12,"")</f>
        <v/>
      </c>
      <c r="E13" s="121" t="str">
        <f>IF(AND($A13&gt;='Auswertung 2-Schicht'!F$3,$A13&lt;='Auswertung 2-Schicht'!F$4),Berechnung!F12,"")</f>
        <v/>
      </c>
      <c r="F13" s="131">
        <f>IF(AND($A13&gt;='Auswertung 2-Schicht'!H$3,$A13&lt;='Auswertung 2-Schicht'!H$4),IF('Auswertung 2-Schicht'!$H$8=1,Berechnung!I12,IF('Auswertung 2-Schicht'!$H$8=2,Berechnung!N12,Berechnung!S12)),"")</f>
        <v>47.683974772612366</v>
      </c>
      <c r="G13" s="118">
        <f>IF(AND($A13&gt;='Auswertung 2-Schicht'!H$3,$A13&lt;='Auswertung 2-Schicht'!H$4),IF('Auswertung 2-Schicht'!$H$8=1,Berechnung!J12,IF('Auswertung 2-Schicht'!$H$8=2,Berechnung!O12,Berechnung!T12)),"")</f>
        <v>32.962023230381305</v>
      </c>
      <c r="H13" s="118" t="str">
        <f>IF(AND($A13&gt;='Auswertung 2-Schicht'!I$3,$A13&lt;='Auswertung 2-Schicht'!I$4),Berechnung!K12,"")</f>
        <v/>
      </c>
      <c r="I13" s="132" t="str">
        <f>IF(AND($A13&gt;='Auswertung 2-Schicht'!J$3,$A13&lt;='Auswertung 2-Schicht'!J$4),Berechnung!L12,"")</f>
        <v/>
      </c>
      <c r="J13" s="118" t="str">
        <f>IF(AND($A13&gt;='Auswertung 2-Schicht'!K$3,$A13&lt;='Auswertung 2-Schicht'!K$4),Berechnung!P12,"")</f>
        <v/>
      </c>
      <c r="K13" s="134" t="str">
        <f>IF(AND($A13&gt;='Auswertung 2-Schicht'!L$3,$A13&lt;='Auswertung 2-Schicht'!L$4),Berechnung!Q12,"")</f>
        <v/>
      </c>
      <c r="L13" s="131">
        <f>IF('Auswertung 2-Schicht'!$H$8=1,Berechnung!I12,IF('Auswertung 2-Schicht'!$H$8=2,Berechnung!N12,Berechnung!S12))</f>
        <v>47.683974772612366</v>
      </c>
      <c r="M13" s="133">
        <f>IF('Auswertung 2-Schicht'!$H$8=1,Berechnung!J12,IF('Auswertung 2-Schicht'!$H$8=2,Berechnung!O12,Berechnung!T12))</f>
        <v>32.962023230381305</v>
      </c>
      <c r="N13" s="82">
        <f t="shared" si="4"/>
        <v>-999</v>
      </c>
      <c r="O13" s="42">
        <f t="shared" si="32"/>
        <v>-999</v>
      </c>
      <c r="P13" s="83">
        <f t="shared" si="33"/>
        <v>-999</v>
      </c>
      <c r="Q13" s="82">
        <f t="shared" si="5"/>
        <v>47.683974772612366</v>
      </c>
      <c r="R13" s="42">
        <f t="shared" si="6"/>
        <v>32.962023230381305</v>
      </c>
      <c r="S13" s="42">
        <f t="shared" si="7"/>
        <v>-999</v>
      </c>
      <c r="T13" s="42">
        <f t="shared" si="8"/>
        <v>-999</v>
      </c>
      <c r="U13" s="42">
        <f t="shared" si="9"/>
        <v>-999</v>
      </c>
      <c r="V13" s="109">
        <f t="shared" si="10"/>
        <v>-999</v>
      </c>
      <c r="W13" s="120" t="str">
        <f>IF(AND($A13&gt;='Auswertung 3-Schicht'!D$3,$A13&lt;='Auswertung 3-Schicht'!D$4),Berechnung!C12,"")</f>
        <v/>
      </c>
      <c r="X13" s="118" t="str">
        <f>IF(AND($A13&gt;='Auswertung 3-Schicht'!E$3,$A13&lt;='Auswertung 3-Schicht'!E$4),Berechnung!D12,"")</f>
        <v/>
      </c>
      <c r="Y13" s="118" t="str">
        <f>IF(AND($A13&gt;='Auswertung 3-Schicht'!F$3,$A13&lt;='Auswertung 3-Schicht'!F$4),Berechnung!E12,"")</f>
        <v/>
      </c>
      <c r="Z13" s="132" t="str">
        <f>IF(AND($A13&gt;='Auswertung 3-Schicht'!G$3,$A13&lt;='Auswertung 3-Schicht'!G$4),Berechnung!F12,"")</f>
        <v/>
      </c>
      <c r="AA13" s="118" t="str">
        <f>IF(AND($A13&gt;='Auswertung 3-Schicht'!H$3,$A13&lt;='Auswertung 3-Schicht'!H$4),Berechnung!K12,"")</f>
        <v/>
      </c>
      <c r="AB13" s="134" t="str">
        <f>IF(AND($A13&gt;='Auswertung 3-Schicht'!I$3,$A13&lt;='Auswertung 3-Schicht'!I$4),Berechnung!L12,"")</f>
        <v/>
      </c>
      <c r="AC13" s="118" t="str">
        <f>IF(AND($A13&gt;='Auswertung 3-Schicht'!J$3,$A13&lt;='Auswertung 3-Schicht'!J$4),Berechnung!P12,"")</f>
        <v/>
      </c>
      <c r="AD13" s="121" t="str">
        <f>IF(AND($A13&gt;='Auswertung 3-Schicht'!K$3,$A13&lt;='Auswertung 3-Schicht'!K$4),Berechnung!Q12,"")</f>
        <v/>
      </c>
      <c r="AE13" s="136">
        <f>IF(AND($A13&gt;='Auswertung 3-Schicht'!D$6,$A13&lt;='Auswertung 3-Schicht'!D$7),Berechnung!C12,"")</f>
        <v>54.496013656304797</v>
      </c>
      <c r="AF13" s="118" t="str">
        <f>IF(AND($A13&gt;='Auswertung 3-Schicht'!E$6,$A13&lt;='Auswertung 3-Schicht'!E$7),Berechnung!D12,"")</f>
        <v/>
      </c>
      <c r="AG13" s="118" t="str">
        <f>IF(AND($A13&gt;='Auswertung 3-Schicht'!F$6,$A13&lt;='Auswertung 3-Schicht'!F$7),Berechnung!E12,"")</f>
        <v/>
      </c>
      <c r="AH13" s="118">
        <f>IF(AND($A13&gt;='Auswertung 3-Schicht'!G$6,$A13&lt;='Auswertung 3-Schicht'!G$7),Berechnung!F12,"")</f>
        <v>43.676513604626571</v>
      </c>
      <c r="AI13" s="118" t="str">
        <f>IF(AND($A13&gt;='Auswertung 3-Schicht'!H$6,$A13&lt;='Auswertung 3-Schicht'!H$7),Berechnung!K12,"")</f>
        <v/>
      </c>
      <c r="AJ13" s="118" t="str">
        <f>IF(AND($A13&gt;='Auswertung 3-Schicht'!I$6,$A13&lt;='Auswertung 3-Schicht'!I$7),Berechnung!L12,"")</f>
        <v/>
      </c>
      <c r="AK13" s="118" t="str">
        <f>IF(AND($A13&gt;='Auswertung 3-Schicht'!J$6,$A13&lt;='Auswertung 3-Schicht'!J$7),Berechnung!P12,"")</f>
        <v/>
      </c>
      <c r="AL13" s="118" t="str">
        <f>IF(AND($A13&gt;='Auswertung 3-Schicht'!K$6,$A13&lt;='Auswertung 3-Schicht'!K$7),Berechnung!Q12,"")</f>
        <v/>
      </c>
      <c r="AM13" s="120" t="str">
        <f>IF(AND($A13&gt;='Auswertung 3-Schicht'!D$10,$A13&lt;='Auswertung 3-Schicht'!D$11),Berechnung!C12,"")</f>
        <v/>
      </c>
      <c r="AN13" s="118" t="str">
        <f>IF(AND($A13&gt;='Auswertung 3-Schicht'!E$10,$A13&lt;='Auswertung 3-Schicht'!E$11),Berechnung!D12,"")</f>
        <v/>
      </c>
      <c r="AO13" s="118">
        <f>IF(AND($A13&gt;='Auswertung 3-Schicht'!F$10,$A13&lt;='Auswertung 3-Schicht'!F$11),Berechnung!E12,"")</f>
        <v>90.490075609326482</v>
      </c>
      <c r="AP13" s="118" t="str">
        <f>IF(AND($A13&gt;='Auswertung 3-Schicht'!G$10,$A13&lt;='Auswertung 3-Schicht'!G$11),Berechnung!F12,"")</f>
        <v/>
      </c>
      <c r="AQ13" s="118" t="str">
        <f>IF(AND($A13&gt;='Auswertung 3-Schicht'!H$10,$A13&lt;='Auswertung 3-Schicht'!H$11),Berechnung!K12,"")</f>
        <v/>
      </c>
      <c r="AR13" s="118" t="str">
        <f>IF(AND($A13&gt;='Auswertung 3-Schicht'!I$10,$A13&lt;='Auswertung 3-Schicht'!I$11),Berechnung!L12,"")</f>
        <v/>
      </c>
      <c r="AS13" s="118" t="str">
        <f>IF(AND($A13&gt;='Auswertung 3-Schicht'!J$10,$A13&lt;='Auswertung 3-Schicht'!J$11),Berechnung!P12,"")</f>
        <v/>
      </c>
      <c r="AT13" s="118" t="str">
        <f>IF(AND($A13&gt;='Auswertung 3-Schicht'!K$10,$A13&lt;='Auswertung 3-Schicht'!K$11),Berechnung!Q12,"")</f>
        <v/>
      </c>
      <c r="AU13" s="82">
        <f t="shared" si="11"/>
        <v>-999</v>
      </c>
      <c r="AV13" s="42">
        <f t="shared" si="12"/>
        <v>-999</v>
      </c>
      <c r="AW13" s="79">
        <f t="shared" si="13"/>
        <v>-999</v>
      </c>
      <c r="AX13" s="79">
        <f t="shared" si="14"/>
        <v>-999</v>
      </c>
      <c r="AY13" s="79">
        <f t="shared" si="15"/>
        <v>-999</v>
      </c>
      <c r="AZ13" s="42">
        <f t="shared" si="16"/>
        <v>-999</v>
      </c>
      <c r="BA13" s="83">
        <f t="shared" si="17"/>
        <v>-999</v>
      </c>
      <c r="BB13" s="80">
        <f t="shared" si="18"/>
        <v>54.496013656304797</v>
      </c>
      <c r="BC13" s="42">
        <f t="shared" si="19"/>
        <v>-999</v>
      </c>
      <c r="BD13" s="42">
        <f t="shared" si="20"/>
        <v>43.676513604626571</v>
      </c>
      <c r="BE13" s="42">
        <f t="shared" si="21"/>
        <v>-999</v>
      </c>
      <c r="BF13" s="42">
        <f t="shared" si="22"/>
        <v>-999</v>
      </c>
      <c r="BG13" s="42">
        <f t="shared" si="23"/>
        <v>-999</v>
      </c>
      <c r="BH13" s="83">
        <f t="shared" si="24"/>
        <v>-999</v>
      </c>
      <c r="BI13" s="82">
        <f t="shared" si="25"/>
        <v>-999</v>
      </c>
      <c r="BJ13" s="42">
        <f t="shared" si="26"/>
        <v>90.490075609326482</v>
      </c>
      <c r="BK13" s="42">
        <f t="shared" si="27"/>
        <v>-999</v>
      </c>
      <c r="BL13" s="42">
        <f t="shared" si="28"/>
        <v>-999</v>
      </c>
      <c r="BM13" s="42">
        <f t="shared" si="29"/>
        <v>-999</v>
      </c>
      <c r="BN13" s="42">
        <f t="shared" si="30"/>
        <v>-999</v>
      </c>
      <c r="BO13" s="83">
        <f t="shared" si="31"/>
        <v>-999</v>
      </c>
      <c r="BP13" s="80">
        <f>IF('Auswertung 2-Schicht'!O$4="",-999,MIN(1000*SQRT((A13+1)^2+AVERAGE(T0_Korrektur!D$1,T0_Korrektur!F$1,T0_Korrektur!H$1)^2)/'Auswertung 2-Schicht'!$O$4,'Auswertung 2-Schicht'!$O$8+1000*SQRT((A13+1)^2+AVERAGE(T0_Korrektur!D$1,T0_Korrektur!F$1,T0_Korrektur!H$1)^2)/'Auswertung 2-Schicht'!$O$7))</f>
        <v>51.192989161852744</v>
      </c>
      <c r="BQ13" s="83">
        <f>IF('Auswertung 3-Schicht'!N$4="",-999,IF('Auswertung 3-Schicht'!N$8="",MIN(1000*SQRT((A13+1)^2+AVERAGE(T0_Korrektur!D$1,T0_Korrektur!F$1,T0_Korrektur!H$1)^2)/'Auswertung 3-Schicht'!N$4,'Auswertung 3-Schicht'!N$6+1000*SQRT((A13+1)^2+AVERAGE(T0_Korrektur!D$1,T0_Korrektur!F$1,T0_Korrektur!H$1)^2)/'Auswertung 3-Schicht'!N$5),MIN(1000*SQRT((A13+1)^2+AVERAGE(T0_Korrektur!D$1,T0_Korrektur!F$1,T0_Korrektur!H$1)^2)/'Auswertung 3-Schicht'!N$4,'Auswertung 3-Schicht'!N$6+1000*SQRT((A13+1)^2+AVERAGE(T0_Korrektur!D$1,T0_Korrektur!F$1,T0_Korrektur!H$1)^2)/'Auswertung 3-Schicht'!N$5,'Auswertung 3-Schicht'!N$9+1000*SQRT((A13+1)^2+AVERAGE(T0_Korrektur!D$1,T0_Korrektur!F$1,T0_Korrektur!H$1)^2)/'Auswertung 3-Schicht'!N$8)))</f>
        <v>41.13238834847553</v>
      </c>
      <c r="BR13" s="82">
        <f>ABS(T0_Korrektur!C12)</f>
        <v>61.273587295016441</v>
      </c>
      <c r="BS13" s="42">
        <f>ABS(T0_Korrektur!E12)</f>
        <v>160.00799980001</v>
      </c>
      <c r="BT13" s="42">
        <f>ABS(T0_Korrektur!I12)</f>
        <v>999</v>
      </c>
      <c r="BU13" s="79">
        <f>ABS(T0_Korrektur!M12)</f>
        <v>999</v>
      </c>
      <c r="BV13" s="120">
        <f>IF(T0_Korrektur!H12="","",T0_Korrektur!H12-Hilfsdaten!BP13)</f>
        <v>-7.4661891618527463</v>
      </c>
      <c r="BW13" s="118">
        <f>IF(T0_Korrektur!D36="","",T0_Korrektur!D36-Hilfsdaten!BP13)</f>
        <v>-10.23548916185274</v>
      </c>
      <c r="BX13" s="118">
        <f>IF(T0_Korrektur!D17="","",T0_Korrektur!D17-Hilfsdaten!BP13)</f>
        <v>-10.09078916185274</v>
      </c>
      <c r="BY13" s="118">
        <f>IF(T0_Korrektur!F47="","",T0_Korrektur!F47-Hilfsdaten!BP13)</f>
        <v>-31.631389161852745</v>
      </c>
      <c r="BZ13" s="120">
        <f>IF(T0_Korrektur!H12="","",T0_Korrektur!H12-Hilfsdaten!BQ13)</f>
        <v>2.5944116515244673</v>
      </c>
      <c r="CA13" s="118">
        <f>IF(T0_Korrektur!D36="","",T0_Korrektur!D36-Hilfsdaten!BQ13)</f>
        <v>-0.17488834847552681</v>
      </c>
      <c r="CB13" s="118">
        <f>IF(T0_Korrektur!D17="","",T0_Korrektur!D17-Hilfsdaten!BQ13)</f>
        <v>-3.0188348475526539E-2</v>
      </c>
      <c r="CC13" s="121">
        <f>IF(T0_Korrektur!F47="","",T0_Korrektur!F47-Hilfsdaten!BQ13)</f>
        <v>-21.570788348475531</v>
      </c>
      <c r="CD13" s="115"/>
    </row>
    <row r="14" spans="1:84" x14ac:dyDescent="0.2">
      <c r="A14" s="130">
        <f>'Picks importieren'!B14</f>
        <v>40</v>
      </c>
      <c r="B14" s="120" t="str">
        <f>IF(AND($A14&gt;='Auswertung 2-Schicht'!C$3,$A14&lt;='Auswertung 2-Schicht'!C$4),Berechnung!C13,"")</f>
        <v/>
      </c>
      <c r="C14" s="118" t="str">
        <f>IF(AND($A14&gt;='Auswertung 2-Schicht'!D$3,$A14&lt;='Auswertung 2-Schicht'!D$4),Berechnung!D13,"")</f>
        <v/>
      </c>
      <c r="D14" s="118" t="str">
        <f>IF(AND($A14&gt;='Auswertung 2-Schicht'!E$3,$A14&lt;='Auswertung 2-Schicht'!E$4),Berechnung!G13,"")</f>
        <v/>
      </c>
      <c r="E14" s="121" t="str">
        <f>IF(AND($A14&gt;='Auswertung 2-Schicht'!F$3,$A14&lt;='Auswertung 2-Schicht'!F$4),Berechnung!F13,"")</f>
        <v/>
      </c>
      <c r="F14" s="131">
        <f>IF(AND($A14&gt;='Auswertung 2-Schicht'!H$3,$A14&lt;='Auswertung 2-Schicht'!H$4),IF('Auswertung 2-Schicht'!$H$8=1,Berechnung!I13,IF('Auswertung 2-Schicht'!$H$8=2,Berechnung!N13,Berechnung!S13)),"")</f>
        <v>51.889211700636757</v>
      </c>
      <c r="G14" s="118">
        <f>IF(AND($A14&gt;='Auswertung 2-Schicht'!H$3,$A14&lt;='Auswertung 2-Schicht'!H$4),IF('Auswertung 2-Schicht'!$H$8=1,Berechnung!J13,IF('Auswertung 2-Schicht'!$H$8=2,Berechnung!O13,Berechnung!T13)),"")</f>
        <v>33.896041244677292</v>
      </c>
      <c r="H14" s="118" t="str">
        <f>IF(AND($A14&gt;='Auswertung 2-Schicht'!I$3,$A14&lt;='Auswertung 2-Schicht'!I$4),Berechnung!K13,"")</f>
        <v/>
      </c>
      <c r="I14" s="132" t="str">
        <f>IF(AND($A14&gt;='Auswertung 2-Schicht'!J$3,$A14&lt;='Auswertung 2-Schicht'!J$4),Berechnung!L13,"")</f>
        <v/>
      </c>
      <c r="J14" s="118" t="str">
        <f>IF(AND($A14&gt;='Auswertung 2-Schicht'!K$3,$A14&lt;='Auswertung 2-Schicht'!K$4),Berechnung!P13,"")</f>
        <v/>
      </c>
      <c r="K14" s="134" t="str">
        <f>IF(AND($A14&gt;='Auswertung 2-Schicht'!L$3,$A14&lt;='Auswertung 2-Schicht'!L$4),Berechnung!Q13,"")</f>
        <v/>
      </c>
      <c r="L14" s="131">
        <f>IF('Auswertung 2-Schicht'!$H$8=1,Berechnung!I13,IF('Auswertung 2-Schicht'!$H$8=2,Berechnung!N13,Berechnung!S13))</f>
        <v>51.889211700636757</v>
      </c>
      <c r="M14" s="133">
        <f>IF('Auswertung 2-Schicht'!$H$8=1,Berechnung!J13,IF('Auswertung 2-Schicht'!$H$8=2,Berechnung!O13,Berechnung!T13))</f>
        <v>33.896041244677292</v>
      </c>
      <c r="N14" s="82">
        <f t="shared" si="4"/>
        <v>-999</v>
      </c>
      <c r="O14" s="42">
        <f t="shared" si="32"/>
        <v>-999</v>
      </c>
      <c r="P14" s="83">
        <f t="shared" si="33"/>
        <v>-999</v>
      </c>
      <c r="Q14" s="82">
        <f t="shared" si="5"/>
        <v>51.889211700636757</v>
      </c>
      <c r="R14" s="42">
        <f t="shared" si="6"/>
        <v>33.896041244677292</v>
      </c>
      <c r="S14" s="42">
        <f t="shared" si="7"/>
        <v>-999</v>
      </c>
      <c r="T14" s="42">
        <f t="shared" si="8"/>
        <v>-999</v>
      </c>
      <c r="U14" s="42">
        <f t="shared" si="9"/>
        <v>-999</v>
      </c>
      <c r="V14" s="109">
        <f t="shared" si="10"/>
        <v>-999</v>
      </c>
      <c r="W14" s="120" t="str">
        <f>IF(AND($A14&gt;='Auswertung 3-Schicht'!D$3,$A14&lt;='Auswertung 3-Schicht'!D$4),Berechnung!C13,"")</f>
        <v/>
      </c>
      <c r="X14" s="118" t="str">
        <f>IF(AND($A14&gt;='Auswertung 3-Schicht'!E$3,$A14&lt;='Auswertung 3-Schicht'!E$4),Berechnung!D13,"")</f>
        <v/>
      </c>
      <c r="Y14" s="118" t="str">
        <f>IF(AND($A14&gt;='Auswertung 3-Schicht'!F$3,$A14&lt;='Auswertung 3-Schicht'!F$4),Berechnung!E13,"")</f>
        <v/>
      </c>
      <c r="Z14" s="132" t="str">
        <f>IF(AND($A14&gt;='Auswertung 3-Schicht'!G$3,$A14&lt;='Auswertung 3-Schicht'!G$4),Berechnung!F13,"")</f>
        <v/>
      </c>
      <c r="AA14" s="118" t="str">
        <f>IF(AND($A14&gt;='Auswertung 3-Schicht'!H$3,$A14&lt;='Auswertung 3-Schicht'!H$4),Berechnung!K13,"")</f>
        <v/>
      </c>
      <c r="AB14" s="134" t="str">
        <f>IF(AND($A14&gt;='Auswertung 3-Schicht'!I$3,$A14&lt;='Auswertung 3-Schicht'!I$4),Berechnung!L13,"")</f>
        <v/>
      </c>
      <c r="AC14" s="118" t="str">
        <f>IF(AND($A14&gt;='Auswertung 3-Schicht'!J$3,$A14&lt;='Auswertung 3-Schicht'!J$4),Berechnung!P13,"")</f>
        <v/>
      </c>
      <c r="AD14" s="121" t="str">
        <f>IF(AND($A14&gt;='Auswertung 3-Schicht'!K$3,$A14&lt;='Auswertung 3-Schicht'!K$4),Berechnung!Q13,"")</f>
        <v/>
      </c>
      <c r="AE14" s="136">
        <f>IF(AND($A14&gt;='Auswertung 3-Schicht'!D$6,$A14&lt;='Auswertung 3-Schicht'!D$7),Berechnung!C13,"")</f>
        <v>51.223012232258327</v>
      </c>
      <c r="AF14" s="118" t="str">
        <f>IF(AND($A14&gt;='Auswertung 3-Schicht'!E$6,$A14&lt;='Auswertung 3-Schicht'!E$7),Berechnung!D13,"")</f>
        <v/>
      </c>
      <c r="AG14" s="118" t="str">
        <f>IF(AND($A14&gt;='Auswertung 3-Schicht'!F$6,$A14&lt;='Auswertung 3-Schicht'!F$7),Berechnung!E13,"")</f>
        <v/>
      </c>
      <c r="AH14" s="118">
        <f>IF(AND($A14&gt;='Auswertung 3-Schicht'!G$6,$A14&lt;='Auswertung 3-Schicht'!G$7),Berechnung!F13,"")</f>
        <v>46.24614107578676</v>
      </c>
      <c r="AI14" s="118" t="str">
        <f>IF(AND($A14&gt;='Auswertung 3-Schicht'!H$6,$A14&lt;='Auswertung 3-Schicht'!H$7),Berechnung!K13,"")</f>
        <v/>
      </c>
      <c r="AJ14" s="118" t="str">
        <f>IF(AND($A14&gt;='Auswertung 3-Schicht'!I$6,$A14&lt;='Auswertung 3-Schicht'!I$7),Berechnung!L13,"")</f>
        <v/>
      </c>
      <c r="AK14" s="118" t="str">
        <f>IF(AND($A14&gt;='Auswertung 3-Schicht'!J$6,$A14&lt;='Auswertung 3-Schicht'!J$7),Berechnung!P13,"")</f>
        <v/>
      </c>
      <c r="AL14" s="118" t="str">
        <f>IF(AND($A14&gt;='Auswertung 3-Schicht'!K$6,$A14&lt;='Auswertung 3-Schicht'!K$7),Berechnung!Q13,"")</f>
        <v/>
      </c>
      <c r="AM14" s="120" t="str">
        <f>IF(AND($A14&gt;='Auswertung 3-Schicht'!D$10,$A14&lt;='Auswertung 3-Schicht'!D$11),Berechnung!C13,"")</f>
        <v/>
      </c>
      <c r="AN14" s="118" t="str">
        <f>IF(AND($A14&gt;='Auswertung 3-Schicht'!E$10,$A14&lt;='Auswertung 3-Schicht'!E$11),Berechnung!D13,"")</f>
        <v/>
      </c>
      <c r="AO14" s="118">
        <f>IF(AND($A14&gt;='Auswertung 3-Schicht'!F$10,$A14&lt;='Auswertung 3-Schicht'!F$11),Berechnung!E13,"")</f>
        <v>88.85446615246228</v>
      </c>
      <c r="AP14" s="118" t="str">
        <f>IF(AND($A14&gt;='Auswertung 3-Schicht'!G$10,$A14&lt;='Auswertung 3-Schicht'!G$11),Berechnung!F13,"")</f>
        <v/>
      </c>
      <c r="AQ14" s="118" t="str">
        <f>IF(AND($A14&gt;='Auswertung 3-Schicht'!H$10,$A14&lt;='Auswertung 3-Schicht'!H$11),Berechnung!K13,"")</f>
        <v/>
      </c>
      <c r="AR14" s="118" t="str">
        <f>IF(AND($A14&gt;='Auswertung 3-Schicht'!I$10,$A14&lt;='Auswertung 3-Schicht'!I$11),Berechnung!L13,"")</f>
        <v/>
      </c>
      <c r="AS14" s="118" t="str">
        <f>IF(AND($A14&gt;='Auswertung 3-Schicht'!J$10,$A14&lt;='Auswertung 3-Schicht'!J$11),Berechnung!P13,"")</f>
        <v/>
      </c>
      <c r="AT14" s="118" t="str">
        <f>IF(AND($A14&gt;='Auswertung 3-Schicht'!K$10,$A14&lt;='Auswertung 3-Schicht'!K$11),Berechnung!Q13,"")</f>
        <v/>
      </c>
      <c r="AU14" s="82">
        <f t="shared" si="11"/>
        <v>-999</v>
      </c>
      <c r="AV14" s="42">
        <f t="shared" si="12"/>
        <v>-999</v>
      </c>
      <c r="AW14" s="79">
        <f t="shared" si="13"/>
        <v>-999</v>
      </c>
      <c r="AX14" s="79">
        <f t="shared" si="14"/>
        <v>-999</v>
      </c>
      <c r="AY14" s="79">
        <f t="shared" si="15"/>
        <v>-999</v>
      </c>
      <c r="AZ14" s="42">
        <f t="shared" si="16"/>
        <v>-999</v>
      </c>
      <c r="BA14" s="83">
        <f t="shared" si="17"/>
        <v>-999</v>
      </c>
      <c r="BB14" s="80">
        <f t="shared" si="18"/>
        <v>51.223012232258327</v>
      </c>
      <c r="BC14" s="42">
        <f t="shared" si="19"/>
        <v>-999</v>
      </c>
      <c r="BD14" s="42">
        <f t="shared" si="20"/>
        <v>46.24614107578676</v>
      </c>
      <c r="BE14" s="42">
        <f t="shared" si="21"/>
        <v>-999</v>
      </c>
      <c r="BF14" s="42">
        <f t="shared" si="22"/>
        <v>-999</v>
      </c>
      <c r="BG14" s="42">
        <f t="shared" si="23"/>
        <v>-999</v>
      </c>
      <c r="BH14" s="83">
        <f t="shared" si="24"/>
        <v>-999</v>
      </c>
      <c r="BI14" s="82">
        <f t="shared" si="25"/>
        <v>-999</v>
      </c>
      <c r="BJ14" s="42">
        <f t="shared" si="26"/>
        <v>88.85446615246228</v>
      </c>
      <c r="BK14" s="42">
        <f t="shared" si="27"/>
        <v>-999</v>
      </c>
      <c r="BL14" s="42">
        <f t="shared" si="28"/>
        <v>-999</v>
      </c>
      <c r="BM14" s="42">
        <f t="shared" si="29"/>
        <v>-999</v>
      </c>
      <c r="BN14" s="42">
        <f t="shared" si="30"/>
        <v>-999</v>
      </c>
      <c r="BO14" s="83">
        <f t="shared" si="31"/>
        <v>-999</v>
      </c>
      <c r="BP14" s="80">
        <f>IF('Auswertung 2-Schicht'!O$4="",-999,MIN(1000*SQRT((A14+1)^2+AVERAGE(T0_Korrektur!D$1,T0_Korrektur!F$1,T0_Korrektur!H$1)^2)/'Auswertung 2-Schicht'!$O$4,'Auswertung 2-Schicht'!$O$8+1000*SQRT((A14+1)^2+AVERAGE(T0_Korrektur!D$1,T0_Korrektur!F$1,T0_Korrektur!H$1)^2)/'Auswertung 2-Schicht'!$O$7))</f>
        <v>53.144145506425716</v>
      </c>
      <c r="BQ14" s="83">
        <f>IF('Auswertung 3-Schicht'!N$4="",-999,IF('Auswertung 3-Schicht'!N$8="",MIN(1000*SQRT((A14+1)^2+AVERAGE(T0_Korrektur!D$1,T0_Korrektur!F$1,T0_Korrektur!H$1)^2)/'Auswertung 3-Schicht'!N$4,'Auswertung 3-Schicht'!N$6+1000*SQRT((A14+1)^2+AVERAGE(T0_Korrektur!D$1,T0_Korrektur!F$1,T0_Korrektur!H$1)^2)/'Auswertung 3-Schicht'!N$5),MIN(1000*SQRT((A14+1)^2+AVERAGE(T0_Korrektur!D$1,T0_Korrektur!F$1,T0_Korrektur!H$1)^2)/'Auswertung 3-Schicht'!N$4,'Auswertung 3-Schicht'!N$6+1000*SQRT((A14+1)^2+AVERAGE(T0_Korrektur!D$1,T0_Korrektur!F$1,T0_Korrektur!H$1)^2)/'Auswertung 3-Schicht'!N$5,'Auswertung 3-Schicht'!N$9+1000*SQRT((A14+1)^2+AVERAGE(T0_Korrektur!D$1,T0_Korrektur!F$1,T0_Korrektur!H$1)^2)/'Auswertung 3-Schicht'!N$8)))</f>
        <v>43.846485372659906</v>
      </c>
      <c r="BR14" s="82">
        <f>ABS(T0_Korrektur!C13)</f>
        <v>56.275683025619507</v>
      </c>
      <c r="BS14" s="42">
        <f>ABS(T0_Korrektur!E13)</f>
        <v>155.00825784454196</v>
      </c>
      <c r="BT14" s="42">
        <f>ABS(T0_Korrektur!I13)</f>
        <v>999</v>
      </c>
      <c r="BU14" s="79">
        <f>ABS(T0_Korrektur!M13)</f>
        <v>999</v>
      </c>
      <c r="BV14" s="120">
        <f>IF(T0_Korrektur!H13="","",T0_Korrektur!H13-Hilfsdaten!BP14)</f>
        <v>-6.8565455064257179</v>
      </c>
      <c r="BW14" s="118">
        <f>IF(T0_Korrektur!D37="","",T0_Korrektur!D37-Hilfsdaten!BP14)</f>
        <v>-9.5583455064257166</v>
      </c>
      <c r="BX14" s="118">
        <f>IF(T0_Korrektur!D16="","",T0_Korrektur!D16-Hilfsdaten!BP14)</f>
        <v>-9.461245506425719</v>
      </c>
      <c r="BY14" s="118">
        <f>IF(T0_Korrektur!F46="","",T0_Korrektur!F46-Hilfsdaten!BP14)</f>
        <v>-29.085345506425714</v>
      </c>
      <c r="BZ14" s="120">
        <f>IF(T0_Korrektur!H13="","",T0_Korrektur!H13-Hilfsdaten!BQ14)</f>
        <v>2.4411146273400917</v>
      </c>
      <c r="CA14" s="118">
        <f>IF(T0_Korrektur!D37="","",T0_Korrektur!D37-Hilfsdaten!BQ14)</f>
        <v>-0.26068537265990699</v>
      </c>
      <c r="CB14" s="118">
        <f>IF(T0_Korrektur!D16="","",T0_Korrektur!D16-Hilfsdaten!BQ14)</f>
        <v>-0.16358537265990947</v>
      </c>
      <c r="CC14" s="121">
        <f>IF(T0_Korrektur!F46="","",T0_Korrektur!F46-Hilfsdaten!BQ14)</f>
        <v>-19.787685372659904</v>
      </c>
      <c r="CD14" s="115"/>
    </row>
    <row r="15" spans="1:84" x14ac:dyDescent="0.2">
      <c r="A15" s="130">
        <f>'Picks importieren'!B15</f>
        <v>45</v>
      </c>
      <c r="B15" s="120" t="str">
        <f>IF(AND($A15&gt;='Auswertung 2-Schicht'!C$3,$A15&lt;='Auswertung 2-Schicht'!C$4),Berechnung!C14,"")</f>
        <v/>
      </c>
      <c r="C15" s="118" t="str">
        <f>IF(AND($A15&gt;='Auswertung 2-Schicht'!D$3,$A15&lt;='Auswertung 2-Schicht'!D$4),Berechnung!D14,"")</f>
        <v/>
      </c>
      <c r="D15" s="118" t="str">
        <f>IF(AND($A15&gt;='Auswertung 2-Schicht'!E$3,$A15&lt;='Auswertung 2-Schicht'!E$4),Berechnung!G14,"")</f>
        <v/>
      </c>
      <c r="E15" s="121" t="str">
        <f>IF(AND($A15&gt;='Auswertung 2-Schicht'!F$3,$A15&lt;='Auswertung 2-Schicht'!F$4),Berechnung!F14,"")</f>
        <v/>
      </c>
      <c r="F15" s="131">
        <f>IF(AND($A15&gt;='Auswertung 2-Schicht'!H$3,$A15&lt;='Auswertung 2-Schicht'!H$4),IF('Auswertung 2-Schicht'!$H$8=1,Berechnung!I14,IF('Auswertung 2-Schicht'!$H$8=2,Berechnung!N14,Berechnung!S14)),"")</f>
        <v>56.347879048655585</v>
      </c>
      <c r="G15" s="118">
        <f>IF(AND($A15&gt;='Auswertung 2-Schicht'!H$3,$A15&lt;='Auswertung 2-Schicht'!H$4),IF('Auswertung 2-Schicht'!$H$8=1,Berechnung!J14,IF('Auswertung 2-Schicht'!$H$8=2,Berechnung!O14,Berechnung!T14)),"")</f>
        <v>35.083652993040232</v>
      </c>
      <c r="H15" s="118" t="str">
        <f>IF(AND($A15&gt;='Auswertung 2-Schicht'!I$3,$A15&lt;='Auswertung 2-Schicht'!I$4),Berechnung!K14,"")</f>
        <v/>
      </c>
      <c r="I15" s="132" t="str">
        <f>IF(AND($A15&gt;='Auswertung 2-Schicht'!J$3,$A15&lt;='Auswertung 2-Schicht'!J$4),Berechnung!L14,"")</f>
        <v/>
      </c>
      <c r="J15" s="118" t="str">
        <f>IF(AND($A15&gt;='Auswertung 2-Schicht'!K$3,$A15&lt;='Auswertung 2-Schicht'!K$4),Berechnung!P14,"")</f>
        <v/>
      </c>
      <c r="K15" s="134" t="str">
        <f>IF(AND($A15&gt;='Auswertung 2-Schicht'!L$3,$A15&lt;='Auswertung 2-Schicht'!L$4),Berechnung!Q14,"")</f>
        <v/>
      </c>
      <c r="L15" s="131">
        <f>IF('Auswertung 2-Schicht'!$H$8=1,Berechnung!I14,IF('Auswertung 2-Schicht'!$H$8=2,Berechnung!N14,Berechnung!S14))</f>
        <v>56.347879048655585</v>
      </c>
      <c r="M15" s="133">
        <f>IF('Auswertung 2-Schicht'!$H$8=1,Berechnung!J14,IF('Auswertung 2-Schicht'!$H$8=2,Berechnung!O14,Berechnung!T14))</f>
        <v>35.083652993040232</v>
      </c>
      <c r="N15" s="82">
        <f t="shared" si="4"/>
        <v>-999</v>
      </c>
      <c r="O15" s="42">
        <f t="shared" si="32"/>
        <v>-999</v>
      </c>
      <c r="P15" s="83">
        <f t="shared" si="33"/>
        <v>-999</v>
      </c>
      <c r="Q15" s="82">
        <f t="shared" si="5"/>
        <v>56.347879048655585</v>
      </c>
      <c r="R15" s="42">
        <f t="shared" si="6"/>
        <v>35.083652993040232</v>
      </c>
      <c r="S15" s="42">
        <f t="shared" si="7"/>
        <v>-999</v>
      </c>
      <c r="T15" s="42">
        <f t="shared" si="8"/>
        <v>-999</v>
      </c>
      <c r="U15" s="42">
        <f t="shared" si="9"/>
        <v>-999</v>
      </c>
      <c r="V15" s="109">
        <f t="shared" si="10"/>
        <v>-999</v>
      </c>
      <c r="W15" s="120" t="str">
        <f>IF(AND($A15&gt;='Auswertung 3-Schicht'!D$3,$A15&lt;='Auswertung 3-Schicht'!D$4),Berechnung!C14,"")</f>
        <v/>
      </c>
      <c r="X15" s="118" t="str">
        <f>IF(AND($A15&gt;='Auswertung 3-Schicht'!E$3,$A15&lt;='Auswertung 3-Schicht'!E$4),Berechnung!D14,"")</f>
        <v/>
      </c>
      <c r="Y15" s="118" t="str">
        <f>IF(AND($A15&gt;='Auswertung 3-Schicht'!F$3,$A15&lt;='Auswertung 3-Schicht'!F$4),Berechnung!E14,"")</f>
        <v/>
      </c>
      <c r="Z15" s="132" t="str">
        <f>IF(AND($A15&gt;='Auswertung 3-Schicht'!G$3,$A15&lt;='Auswertung 3-Schicht'!G$4),Berechnung!F14,"")</f>
        <v/>
      </c>
      <c r="AA15" s="118" t="str">
        <f>IF(AND($A15&gt;='Auswertung 3-Schicht'!H$3,$A15&lt;='Auswertung 3-Schicht'!H$4),Berechnung!K14,"")</f>
        <v/>
      </c>
      <c r="AB15" s="134" t="str">
        <f>IF(AND($A15&gt;='Auswertung 3-Schicht'!I$3,$A15&lt;='Auswertung 3-Schicht'!I$4),Berechnung!L14,"")</f>
        <v/>
      </c>
      <c r="AC15" s="118" t="str">
        <f>IF(AND($A15&gt;='Auswertung 3-Schicht'!J$3,$A15&lt;='Auswertung 3-Schicht'!J$4),Berechnung!P14,"")</f>
        <v/>
      </c>
      <c r="AD15" s="121" t="str">
        <f>IF(AND($A15&gt;='Auswertung 3-Schicht'!K$3,$A15&lt;='Auswertung 3-Schicht'!K$4),Berechnung!Q14,"")</f>
        <v/>
      </c>
      <c r="AE15" s="136">
        <f>IF(AND($A15&gt;='Auswertung 3-Schicht'!D$6,$A15&lt;='Auswertung 3-Schicht'!D$7),Berechnung!C14,"")</f>
        <v>48.766578505085107</v>
      </c>
      <c r="AF15" s="118" t="str">
        <f>IF(AND($A15&gt;='Auswertung 3-Schicht'!E$6,$A15&lt;='Auswertung 3-Schicht'!E$7),Berechnung!D14,"")</f>
        <v/>
      </c>
      <c r="AG15" s="118" t="str">
        <f>IF(AND($A15&gt;='Auswertung 3-Schicht'!F$6,$A15&lt;='Auswertung 3-Schicht'!F$7),Berechnung!E14,"")</f>
        <v/>
      </c>
      <c r="AH15" s="118">
        <f>IF(AND($A15&gt;='Auswertung 3-Schicht'!G$6,$A15&lt;='Auswertung 3-Schicht'!G$7),Berechnung!F14,"")</f>
        <v>49.069280623977647</v>
      </c>
      <c r="AI15" s="118" t="str">
        <f>IF(AND($A15&gt;='Auswertung 3-Schicht'!H$6,$A15&lt;='Auswertung 3-Schicht'!H$7),Berechnung!K14,"")</f>
        <v/>
      </c>
      <c r="AJ15" s="118" t="str">
        <f>IF(AND($A15&gt;='Auswertung 3-Schicht'!I$6,$A15&lt;='Auswertung 3-Schicht'!I$7),Berechnung!L14,"")</f>
        <v/>
      </c>
      <c r="AK15" s="118" t="str">
        <f>IF(AND($A15&gt;='Auswertung 3-Schicht'!J$6,$A15&lt;='Auswertung 3-Schicht'!J$7),Berechnung!P14,"")</f>
        <v/>
      </c>
      <c r="AL15" s="118" t="str">
        <f>IF(AND($A15&gt;='Auswertung 3-Schicht'!K$6,$A15&lt;='Auswertung 3-Schicht'!K$7),Berechnung!Q14,"")</f>
        <v/>
      </c>
      <c r="AM15" s="120" t="str">
        <f>IF(AND($A15&gt;='Auswertung 3-Schicht'!D$10,$A15&lt;='Auswertung 3-Schicht'!D$11),Berechnung!C14,"")</f>
        <v/>
      </c>
      <c r="AN15" s="118" t="str">
        <f>IF(AND($A15&gt;='Auswertung 3-Schicht'!E$10,$A15&lt;='Auswertung 3-Schicht'!E$11),Berechnung!D14,"")</f>
        <v/>
      </c>
      <c r="AO15" s="118">
        <f>IF(AND($A15&gt;='Auswertung 3-Schicht'!F$10,$A15&lt;='Auswertung 3-Schicht'!F$11),Berechnung!E14,"")</f>
        <v>87.218938352634339</v>
      </c>
      <c r="AP15" s="118" t="str">
        <f>IF(AND($A15&gt;='Auswertung 3-Schicht'!G$10,$A15&lt;='Auswertung 3-Schicht'!G$11),Berechnung!F14,"")</f>
        <v/>
      </c>
      <c r="AQ15" s="118" t="str">
        <f>IF(AND($A15&gt;='Auswertung 3-Schicht'!H$10,$A15&lt;='Auswertung 3-Schicht'!H$11),Berechnung!K14,"")</f>
        <v/>
      </c>
      <c r="AR15" s="118" t="str">
        <f>IF(AND($A15&gt;='Auswertung 3-Schicht'!I$10,$A15&lt;='Auswertung 3-Schicht'!I$11),Berechnung!L14,"")</f>
        <v/>
      </c>
      <c r="AS15" s="118" t="str">
        <f>IF(AND($A15&gt;='Auswertung 3-Schicht'!J$10,$A15&lt;='Auswertung 3-Schicht'!J$11),Berechnung!P14,"")</f>
        <v/>
      </c>
      <c r="AT15" s="118" t="str">
        <f>IF(AND($A15&gt;='Auswertung 3-Schicht'!K$10,$A15&lt;='Auswertung 3-Schicht'!K$11),Berechnung!Q14,"")</f>
        <v/>
      </c>
      <c r="AU15" s="82">
        <f t="shared" si="11"/>
        <v>-999</v>
      </c>
      <c r="AV15" s="42">
        <f t="shared" si="12"/>
        <v>-999</v>
      </c>
      <c r="AW15" s="79">
        <f t="shared" si="13"/>
        <v>-999</v>
      </c>
      <c r="AX15" s="79">
        <f t="shared" si="14"/>
        <v>-999</v>
      </c>
      <c r="AY15" s="79">
        <f t="shared" si="15"/>
        <v>-999</v>
      </c>
      <c r="AZ15" s="42">
        <f t="shared" si="16"/>
        <v>-999</v>
      </c>
      <c r="BA15" s="83">
        <f t="shared" si="17"/>
        <v>-999</v>
      </c>
      <c r="BB15" s="80">
        <f t="shared" si="18"/>
        <v>48.766578505085107</v>
      </c>
      <c r="BC15" s="42">
        <f t="shared" si="19"/>
        <v>-999</v>
      </c>
      <c r="BD15" s="42">
        <f t="shared" si="20"/>
        <v>49.069280623977647</v>
      </c>
      <c r="BE15" s="42">
        <f t="shared" si="21"/>
        <v>-999</v>
      </c>
      <c r="BF15" s="42">
        <f t="shared" si="22"/>
        <v>-999</v>
      </c>
      <c r="BG15" s="42">
        <f t="shared" si="23"/>
        <v>-999</v>
      </c>
      <c r="BH15" s="83">
        <f t="shared" si="24"/>
        <v>-999</v>
      </c>
      <c r="BI15" s="82">
        <f t="shared" si="25"/>
        <v>-999</v>
      </c>
      <c r="BJ15" s="42">
        <f t="shared" si="26"/>
        <v>87.218938352634339</v>
      </c>
      <c r="BK15" s="42">
        <f t="shared" si="27"/>
        <v>-999</v>
      </c>
      <c r="BL15" s="42">
        <f t="shared" si="28"/>
        <v>-999</v>
      </c>
      <c r="BM15" s="42">
        <f t="shared" si="29"/>
        <v>-999</v>
      </c>
      <c r="BN15" s="42">
        <f t="shared" si="30"/>
        <v>-999</v>
      </c>
      <c r="BO15" s="83">
        <f t="shared" si="31"/>
        <v>-999</v>
      </c>
      <c r="BP15" s="80">
        <f>IF('Auswertung 2-Schicht'!O$4="",-999,MIN(1000*SQRT((A15+1)^2+AVERAGE(T0_Korrektur!D$1,T0_Korrektur!F$1,T0_Korrektur!H$1)^2)/'Auswertung 2-Schicht'!$O$4,'Auswertung 2-Schicht'!$O$8+1000*SQRT((A15+1)^2+AVERAGE(T0_Korrektur!D$1,T0_Korrektur!F$1,T0_Korrektur!H$1)^2)/'Auswertung 2-Schicht'!$O$7))</f>
        <v>55.09571641922507</v>
      </c>
      <c r="BQ15" s="83">
        <f>IF('Auswertung 3-Schicht'!N$4="",-999,IF('Auswertung 3-Schicht'!N$8="",MIN(1000*SQRT((A15+1)^2+AVERAGE(T0_Korrektur!D$1,T0_Korrektur!F$1,T0_Korrektur!H$1)^2)/'Auswertung 3-Schicht'!N$4,'Auswertung 3-Schicht'!N$6+1000*SQRT((A15+1)^2+AVERAGE(T0_Korrektur!D$1,T0_Korrektur!F$1,T0_Korrektur!H$1)^2)/'Auswertung 3-Schicht'!N$5),MIN(1000*SQRT((A15+1)^2+AVERAGE(T0_Korrektur!D$1,T0_Korrektur!F$1,T0_Korrektur!H$1)^2)/'Auswertung 3-Schicht'!N$4,'Auswertung 3-Schicht'!N$6+1000*SQRT((A15+1)^2+AVERAGE(T0_Korrektur!D$1,T0_Korrektur!F$1,T0_Korrektur!H$1)^2)/'Auswertung 3-Schicht'!N$5,'Auswertung 3-Schicht'!N$9+1000*SQRT((A15+1)^2+AVERAGE(T0_Korrektur!D$1,T0_Korrektur!F$1,T0_Korrektur!H$1)^2)/'Auswertung 3-Schicht'!N$8)))</f>
        <v>46.561159069437778</v>
      </c>
      <c r="BR15" s="82">
        <f>ABS(T0_Korrektur!C14)</f>
        <v>51.278187370459968</v>
      </c>
      <c r="BS15" s="42">
        <f>ABS(T0_Korrektur!E14)</f>
        <v>150.00853309062123</v>
      </c>
      <c r="BT15" s="42">
        <f>ABS(T0_Korrektur!I14)</f>
        <v>999</v>
      </c>
      <c r="BU15" s="79">
        <f>ABS(T0_Korrektur!M14)</f>
        <v>999</v>
      </c>
      <c r="BV15" s="120">
        <f>IF(T0_Korrektur!H14="","",T0_Korrektur!H14-Hilfsdaten!BP15)</f>
        <v>-5.9912164192250685</v>
      </c>
      <c r="BW15" s="118">
        <f>IF(T0_Korrektur!D38="","",T0_Korrektur!D38-Hilfsdaten!BP15)</f>
        <v>-8.9755164192250732</v>
      </c>
      <c r="BX15" s="118">
        <f>IF(T0_Korrektur!D15="","",T0_Korrektur!D15-Hilfsdaten!BP15)</f>
        <v>-8.9598164192250707</v>
      </c>
      <c r="BY15" s="118">
        <f>IF(T0_Korrektur!F45="","",T0_Korrektur!F45-Hilfsdaten!BP15)</f>
        <v>-24.08671641922507</v>
      </c>
      <c r="BZ15" s="120">
        <f>IF(T0_Korrektur!H14="","",T0_Korrektur!H14-Hilfsdaten!BQ15)</f>
        <v>2.5433409305622234</v>
      </c>
      <c r="CA15" s="118">
        <f>IF(T0_Korrektur!D38="","",T0_Korrektur!D38-Hilfsdaten!BQ15)</f>
        <v>-0.44095906943778118</v>
      </c>
      <c r="CB15" s="118">
        <f>IF(T0_Korrektur!D15="","",T0_Korrektur!D15-Hilfsdaten!BQ15)</f>
        <v>-0.42525906943777869</v>
      </c>
      <c r="CC15" s="121">
        <f>IF(T0_Korrektur!F45="","",T0_Korrektur!F45-Hilfsdaten!BQ15)</f>
        <v>-15.552159069437778</v>
      </c>
      <c r="CD15" s="115"/>
    </row>
    <row r="16" spans="1:84" x14ac:dyDescent="0.2">
      <c r="A16" s="130">
        <f>'Picks importieren'!B16</f>
        <v>50</v>
      </c>
      <c r="B16" s="120" t="str">
        <f>IF(AND($A16&gt;='Auswertung 2-Schicht'!C$3,$A16&lt;='Auswertung 2-Schicht'!C$4),Berechnung!C15,"")</f>
        <v/>
      </c>
      <c r="C16" s="118" t="str">
        <f>IF(AND($A16&gt;='Auswertung 2-Schicht'!D$3,$A16&lt;='Auswertung 2-Schicht'!D$4),Berechnung!D15,"")</f>
        <v/>
      </c>
      <c r="D16" s="118" t="str">
        <f>IF(AND($A16&gt;='Auswertung 2-Schicht'!E$3,$A16&lt;='Auswertung 2-Schicht'!E$4),Berechnung!G15,"")</f>
        <v/>
      </c>
      <c r="E16" s="121" t="str">
        <f>IF(AND($A16&gt;='Auswertung 2-Schicht'!F$3,$A16&lt;='Auswertung 2-Schicht'!F$4),Berechnung!F15,"")</f>
        <v/>
      </c>
      <c r="F16" s="131">
        <f>IF(AND($A16&gt;='Auswertung 2-Schicht'!H$3,$A16&lt;='Auswertung 2-Schicht'!H$4),IF('Auswertung 2-Schicht'!$H$8=1,Berechnung!I15,IF('Auswertung 2-Schicht'!$H$8=2,Berechnung!N15,Berechnung!S15)),"")</f>
        <v>60.805056790749305</v>
      </c>
      <c r="G16" s="118">
        <f>IF(AND($A16&gt;='Auswertung 2-Schicht'!H$3,$A16&lt;='Auswertung 2-Schicht'!H$4),IF('Auswertung 2-Schicht'!$H$8=1,Berechnung!J15,IF('Auswertung 2-Schicht'!$H$8=2,Berechnung!O15,Berechnung!T15)),"")</f>
        <v>36.269533741957986</v>
      </c>
      <c r="H16" s="118" t="str">
        <f>IF(AND($A16&gt;='Auswertung 2-Schicht'!I$3,$A16&lt;='Auswertung 2-Schicht'!I$4),Berechnung!K15,"")</f>
        <v/>
      </c>
      <c r="I16" s="132" t="str">
        <f>IF(AND($A16&gt;='Auswertung 2-Schicht'!J$3,$A16&lt;='Auswertung 2-Schicht'!J$4),Berechnung!L15,"")</f>
        <v/>
      </c>
      <c r="J16" s="118" t="str">
        <f>IF(AND($A16&gt;='Auswertung 2-Schicht'!K$3,$A16&lt;='Auswertung 2-Schicht'!K$4),Berechnung!P15,"")</f>
        <v/>
      </c>
      <c r="K16" s="134" t="str">
        <f>IF(AND($A16&gt;='Auswertung 2-Schicht'!L$3,$A16&lt;='Auswertung 2-Schicht'!L$4),Berechnung!Q15,"")</f>
        <v/>
      </c>
      <c r="L16" s="131">
        <f>IF('Auswertung 2-Schicht'!$H$8=1,Berechnung!I15,IF('Auswertung 2-Schicht'!$H$8=2,Berechnung!N15,Berechnung!S15))</f>
        <v>60.805056790749305</v>
      </c>
      <c r="M16" s="133">
        <f>IF('Auswertung 2-Schicht'!$H$8=1,Berechnung!J15,IF('Auswertung 2-Schicht'!$H$8=2,Berechnung!O15,Berechnung!T15))</f>
        <v>36.269533741957986</v>
      </c>
      <c r="N16" s="82">
        <f t="shared" si="4"/>
        <v>-999</v>
      </c>
      <c r="O16" s="42">
        <f t="shared" si="32"/>
        <v>-999</v>
      </c>
      <c r="P16" s="83">
        <f t="shared" si="33"/>
        <v>-999</v>
      </c>
      <c r="Q16" s="82">
        <f t="shared" si="5"/>
        <v>60.805056790749305</v>
      </c>
      <c r="R16" s="42">
        <f t="shared" si="6"/>
        <v>36.269533741957986</v>
      </c>
      <c r="S16" s="42">
        <f t="shared" si="7"/>
        <v>-999</v>
      </c>
      <c r="T16" s="42">
        <f t="shared" si="8"/>
        <v>-999</v>
      </c>
      <c r="U16" s="42">
        <f t="shared" si="9"/>
        <v>-999</v>
      </c>
      <c r="V16" s="109">
        <f t="shared" si="10"/>
        <v>-999</v>
      </c>
      <c r="W16" s="120" t="str">
        <f>IF(AND($A16&gt;='Auswertung 3-Schicht'!D$3,$A16&lt;='Auswertung 3-Schicht'!D$4),Berechnung!C15,"")</f>
        <v/>
      </c>
      <c r="X16" s="118" t="str">
        <f>IF(AND($A16&gt;='Auswertung 3-Schicht'!E$3,$A16&lt;='Auswertung 3-Schicht'!E$4),Berechnung!D15,"")</f>
        <v/>
      </c>
      <c r="Y16" s="118" t="str">
        <f>IF(AND($A16&gt;='Auswertung 3-Schicht'!F$3,$A16&lt;='Auswertung 3-Schicht'!F$4),Berechnung!E15,"")</f>
        <v/>
      </c>
      <c r="Z16" s="132" t="str">
        <f>IF(AND($A16&gt;='Auswertung 3-Schicht'!G$3,$A16&lt;='Auswertung 3-Schicht'!G$4),Berechnung!F15,"")</f>
        <v/>
      </c>
      <c r="AA16" s="118" t="str">
        <f>IF(AND($A16&gt;='Auswertung 3-Schicht'!H$3,$A16&lt;='Auswertung 3-Schicht'!H$4),Berechnung!K15,"")</f>
        <v/>
      </c>
      <c r="AB16" s="134" t="str">
        <f>IF(AND($A16&gt;='Auswertung 3-Schicht'!I$3,$A16&lt;='Auswertung 3-Schicht'!I$4),Berechnung!L15,"")</f>
        <v/>
      </c>
      <c r="AC16" s="118" t="str">
        <f>IF(AND($A16&gt;='Auswertung 3-Schicht'!J$3,$A16&lt;='Auswertung 3-Schicht'!J$4),Berechnung!P15,"")</f>
        <v/>
      </c>
      <c r="AD16" s="121" t="str">
        <f>IF(AND($A16&gt;='Auswertung 3-Schicht'!K$3,$A16&lt;='Auswertung 3-Schicht'!K$4),Berechnung!Q15,"")</f>
        <v/>
      </c>
      <c r="AE16" s="136">
        <f>IF(AND($A16&gt;='Auswertung 3-Schicht'!D$6,$A16&lt;='Auswertung 3-Schicht'!D$7),Berechnung!C15,"")</f>
        <v>46.104765379668315</v>
      </c>
      <c r="AF16" s="118" t="str">
        <f>IF(AND($A16&gt;='Auswertung 3-Schicht'!E$6,$A16&lt;='Auswertung 3-Schicht'!E$7),Berechnung!D15,"")</f>
        <v/>
      </c>
      <c r="AG16" s="118" t="str">
        <f>IF(AND($A16&gt;='Auswertung 3-Schicht'!F$6,$A16&lt;='Auswertung 3-Schicht'!F$7),Berechnung!E15,"")</f>
        <v/>
      </c>
      <c r="AH16" s="118">
        <f>IF(AND($A16&gt;='Auswertung 3-Schicht'!G$6,$A16&lt;='Auswertung 3-Schicht'!G$7),Berechnung!F15,"")</f>
        <v>51.89080986948337</v>
      </c>
      <c r="AI16" s="118" t="str">
        <f>IF(AND($A16&gt;='Auswertung 3-Schicht'!H$6,$A16&lt;='Auswertung 3-Schicht'!H$7),Berechnung!K15,"")</f>
        <v/>
      </c>
      <c r="AJ16" s="118" t="str">
        <f>IF(AND($A16&gt;='Auswertung 3-Schicht'!I$6,$A16&lt;='Auswertung 3-Schicht'!I$7),Berechnung!L15,"")</f>
        <v/>
      </c>
      <c r="AK16" s="118" t="str">
        <f>IF(AND($A16&gt;='Auswertung 3-Schicht'!J$6,$A16&lt;='Auswertung 3-Schicht'!J$7),Berechnung!P15,"")</f>
        <v/>
      </c>
      <c r="AL16" s="118" t="str">
        <f>IF(AND($A16&gt;='Auswertung 3-Schicht'!K$6,$A16&lt;='Auswertung 3-Schicht'!K$7),Berechnung!Q15,"")</f>
        <v/>
      </c>
      <c r="AM16" s="120" t="str">
        <f>IF(AND($A16&gt;='Auswertung 3-Schicht'!D$10,$A16&lt;='Auswertung 3-Schicht'!D$11),Berechnung!C15,"")</f>
        <v/>
      </c>
      <c r="AN16" s="118" t="str">
        <f>IF(AND($A16&gt;='Auswertung 3-Schicht'!E$10,$A16&lt;='Auswertung 3-Schicht'!E$11),Berechnung!D15,"")</f>
        <v/>
      </c>
      <c r="AO16" s="118">
        <f>IF(AND($A16&gt;='Auswertung 3-Schicht'!F$10,$A16&lt;='Auswertung 3-Schicht'!F$11),Berechnung!E15,"")</f>
        <v>85.583289856046349</v>
      </c>
      <c r="AP16" s="118" t="str">
        <f>IF(AND($A16&gt;='Auswertung 3-Schicht'!G$10,$A16&lt;='Auswertung 3-Schicht'!G$11),Berechnung!F15,"")</f>
        <v/>
      </c>
      <c r="AQ16" s="118" t="str">
        <f>IF(AND($A16&gt;='Auswertung 3-Schicht'!H$10,$A16&lt;='Auswertung 3-Schicht'!H$11),Berechnung!K15,"")</f>
        <v/>
      </c>
      <c r="AR16" s="118" t="str">
        <f>IF(AND($A16&gt;='Auswertung 3-Schicht'!I$10,$A16&lt;='Auswertung 3-Schicht'!I$11),Berechnung!L15,"")</f>
        <v/>
      </c>
      <c r="AS16" s="118" t="str">
        <f>IF(AND($A16&gt;='Auswertung 3-Schicht'!J$10,$A16&lt;='Auswertung 3-Schicht'!J$11),Berechnung!P15,"")</f>
        <v/>
      </c>
      <c r="AT16" s="118" t="str">
        <f>IF(AND($A16&gt;='Auswertung 3-Schicht'!K$10,$A16&lt;='Auswertung 3-Schicht'!K$11),Berechnung!Q15,"")</f>
        <v/>
      </c>
      <c r="AU16" s="82">
        <f t="shared" si="11"/>
        <v>-999</v>
      </c>
      <c r="AV16" s="42">
        <f t="shared" si="12"/>
        <v>-999</v>
      </c>
      <c r="AW16" s="79">
        <f t="shared" si="13"/>
        <v>-999</v>
      </c>
      <c r="AX16" s="79">
        <f t="shared" si="14"/>
        <v>-999</v>
      </c>
      <c r="AY16" s="79">
        <f t="shared" si="15"/>
        <v>-999</v>
      </c>
      <c r="AZ16" s="42">
        <f t="shared" si="16"/>
        <v>-999</v>
      </c>
      <c r="BA16" s="83">
        <f t="shared" si="17"/>
        <v>-999</v>
      </c>
      <c r="BB16" s="80">
        <f t="shared" si="18"/>
        <v>46.104765379668315</v>
      </c>
      <c r="BC16" s="42">
        <f t="shared" si="19"/>
        <v>-999</v>
      </c>
      <c r="BD16" s="42">
        <f t="shared" si="20"/>
        <v>51.89080986948337</v>
      </c>
      <c r="BE16" s="42">
        <f t="shared" si="21"/>
        <v>-999</v>
      </c>
      <c r="BF16" s="42">
        <f t="shared" si="22"/>
        <v>-999</v>
      </c>
      <c r="BG16" s="42">
        <f t="shared" si="23"/>
        <v>-999</v>
      </c>
      <c r="BH16" s="83">
        <f t="shared" si="24"/>
        <v>-999</v>
      </c>
      <c r="BI16" s="82">
        <f t="shared" si="25"/>
        <v>-999</v>
      </c>
      <c r="BJ16" s="42">
        <f t="shared" si="26"/>
        <v>85.583289856046349</v>
      </c>
      <c r="BK16" s="42">
        <f t="shared" si="27"/>
        <v>-999</v>
      </c>
      <c r="BL16" s="42">
        <f t="shared" si="28"/>
        <v>-999</v>
      </c>
      <c r="BM16" s="42">
        <f t="shared" si="29"/>
        <v>-999</v>
      </c>
      <c r="BN16" s="42">
        <f t="shared" si="30"/>
        <v>-999</v>
      </c>
      <c r="BO16" s="83">
        <f t="shared" si="31"/>
        <v>-999</v>
      </c>
      <c r="BP16" s="80">
        <f>IF('Auswertung 2-Schicht'!O$4="",-999,MIN(1000*SQRT((A16+1)^2+AVERAGE(T0_Korrektur!D$1,T0_Korrektur!F$1,T0_Korrektur!H$1)^2)/'Auswertung 2-Schicht'!$O$4,'Auswertung 2-Schicht'!$O$8+1000*SQRT((A16+1)^2+AVERAGE(T0_Korrektur!D$1,T0_Korrektur!F$1,T0_Korrektur!H$1)^2)/'Auswertung 2-Schicht'!$O$7))</f>
        <v>57.047580129736218</v>
      </c>
      <c r="BQ16" s="83">
        <f>IF('Auswertung 3-Schicht'!N$4="",-999,IF('Auswertung 3-Schicht'!N$8="",MIN(1000*SQRT((A16+1)^2+AVERAGE(T0_Korrektur!D$1,T0_Korrektur!F$1,T0_Korrektur!H$1)^2)/'Auswertung 3-Schicht'!N$4,'Auswertung 3-Schicht'!N$6+1000*SQRT((A16+1)^2+AVERAGE(T0_Korrektur!D$1,T0_Korrektur!F$1,T0_Korrektur!H$1)^2)/'Auswertung 3-Schicht'!N$5),MIN(1000*SQRT((A16+1)^2+AVERAGE(T0_Korrektur!D$1,T0_Korrektur!F$1,T0_Korrektur!H$1)^2)/'Auswertung 3-Schicht'!N$4,'Auswertung 3-Schicht'!N$6+1000*SQRT((A16+1)^2+AVERAGE(T0_Korrektur!D$1,T0_Korrektur!F$1,T0_Korrektur!H$1)^2)/'Auswertung 3-Schicht'!N$5,'Auswertung 3-Schicht'!N$9+1000*SQRT((A16+1)^2+AVERAGE(T0_Korrektur!D$1,T0_Korrektur!F$1,T0_Korrektur!H$1)^2)/'Auswertung 3-Schicht'!N$8)))</f>
        <v>49.276240053617542</v>
      </c>
      <c r="BR16" s="82">
        <f>ABS(T0_Korrektur!C15)</f>
        <v>46.281232697498453</v>
      </c>
      <c r="BS16" s="42">
        <f>ABS(T0_Korrektur!E15)</f>
        <v>145.00882731751196</v>
      </c>
      <c r="BT16" s="42">
        <f>ABS(T0_Korrektur!I15)</f>
        <v>999</v>
      </c>
      <c r="BU16" s="79">
        <f>ABS(T0_Korrektur!M15)</f>
        <v>999</v>
      </c>
      <c r="BV16" s="120">
        <f>IF(T0_Korrektur!H15="","",T0_Korrektur!H15-Hilfsdaten!BP16)</f>
        <v>-5.1262801297362159</v>
      </c>
      <c r="BW16" s="118">
        <f>IF(T0_Korrektur!D39="","",T0_Korrektur!D39-Hilfsdaten!BP16)</f>
        <v>-8.8674801297362151</v>
      </c>
      <c r="BX16" s="118">
        <f>IF(T0_Korrektur!D14="","",T0_Korrektur!D14-Hilfsdaten!BP16)</f>
        <v>-8.2541801297362198</v>
      </c>
      <c r="BY16" s="118">
        <f>IF(T0_Korrektur!F44="","",T0_Korrektur!F44-Hilfsdaten!BP16)</f>
        <v>-23.176780129736215</v>
      </c>
      <c r="BZ16" s="120">
        <f>IF(T0_Korrektur!H15="","",T0_Korrektur!H15-Hilfsdaten!BQ16)</f>
        <v>2.6450599463824602</v>
      </c>
      <c r="CA16" s="118">
        <f>IF(T0_Korrektur!D39="","",T0_Korrektur!D39-Hilfsdaten!BQ16)</f>
        <v>-1.096140053617539</v>
      </c>
      <c r="CB16" s="118">
        <f>IF(T0_Korrektur!D14="","",T0_Korrektur!D14-Hilfsdaten!BQ16)</f>
        <v>-0.48284005361754367</v>
      </c>
      <c r="CC16" s="121">
        <f>IF(T0_Korrektur!F44="","",T0_Korrektur!F44-Hilfsdaten!BQ16)</f>
        <v>-15.405440053617539</v>
      </c>
      <c r="CD16" s="115"/>
    </row>
    <row r="17" spans="1:82" x14ac:dyDescent="0.2">
      <c r="A17" s="130">
        <f>'Picks importieren'!B17</f>
        <v>55</v>
      </c>
      <c r="B17" s="120" t="str">
        <f>IF(AND($A17&gt;='Auswertung 2-Schicht'!C$3,$A17&lt;='Auswertung 2-Schicht'!C$4),Berechnung!C16,"")</f>
        <v/>
      </c>
      <c r="C17" s="118" t="str">
        <f>IF(AND($A17&gt;='Auswertung 2-Schicht'!D$3,$A17&lt;='Auswertung 2-Schicht'!D$4),Berechnung!D16,"")</f>
        <v/>
      </c>
      <c r="D17" s="118" t="str">
        <f>IF(AND($A17&gt;='Auswertung 2-Schicht'!E$3,$A17&lt;='Auswertung 2-Schicht'!E$4),Berechnung!G16,"")</f>
        <v/>
      </c>
      <c r="E17" s="121" t="str">
        <f>IF(AND($A17&gt;='Auswertung 2-Schicht'!F$3,$A17&lt;='Auswertung 2-Schicht'!F$4),Berechnung!F16,"")</f>
        <v/>
      </c>
      <c r="F17" s="131">
        <f>IF(AND($A17&gt;='Auswertung 2-Schicht'!H$3,$A17&lt;='Auswertung 2-Schicht'!H$4),IF('Auswertung 2-Schicht'!$H$8=1,Berechnung!I16,IF('Auswertung 2-Schicht'!$H$8=2,Berechnung!N16,Berechnung!S16)),"")</f>
        <v>64.05965937047425</v>
      </c>
      <c r="G17" s="118">
        <f>IF(AND($A17&gt;='Auswertung 2-Schicht'!H$3,$A17&lt;='Auswertung 2-Schicht'!H$4),IF('Auswertung 2-Schicht'!$H$8=1,Berechnung!J16,IF('Auswertung 2-Schicht'!$H$8=2,Berechnung!O16,Berechnung!T16)),"")</f>
        <v>37.888285576536759</v>
      </c>
      <c r="H17" s="118" t="str">
        <f>IF(AND($A17&gt;='Auswertung 2-Schicht'!I$3,$A17&lt;='Auswertung 2-Schicht'!I$4),Berechnung!K16,"")</f>
        <v/>
      </c>
      <c r="I17" s="132" t="str">
        <f>IF(AND($A17&gt;='Auswertung 2-Schicht'!J$3,$A17&lt;='Auswertung 2-Schicht'!J$4),Berechnung!L16,"")</f>
        <v/>
      </c>
      <c r="J17" s="118" t="str">
        <f>IF(AND($A17&gt;='Auswertung 2-Schicht'!K$3,$A17&lt;='Auswertung 2-Schicht'!K$4),Berechnung!P16,"")</f>
        <v/>
      </c>
      <c r="K17" s="134" t="str">
        <f>IF(AND($A17&gt;='Auswertung 2-Schicht'!L$3,$A17&lt;='Auswertung 2-Schicht'!L$4),Berechnung!Q16,"")</f>
        <v/>
      </c>
      <c r="L17" s="131">
        <f>IF('Auswertung 2-Schicht'!$H$8=1,Berechnung!I16,IF('Auswertung 2-Schicht'!$H$8=2,Berechnung!N16,Berechnung!S16))</f>
        <v>64.05965937047425</v>
      </c>
      <c r="M17" s="133">
        <f>IF('Auswertung 2-Schicht'!$H$8=1,Berechnung!J16,IF('Auswertung 2-Schicht'!$H$8=2,Berechnung!O16,Berechnung!T16))</f>
        <v>37.888285576536759</v>
      </c>
      <c r="N17" s="82">
        <f t="shared" si="4"/>
        <v>-999</v>
      </c>
      <c r="O17" s="42">
        <f t="shared" si="32"/>
        <v>-999</v>
      </c>
      <c r="P17" s="83">
        <f t="shared" si="33"/>
        <v>-999</v>
      </c>
      <c r="Q17" s="82">
        <f t="shared" si="5"/>
        <v>64.05965937047425</v>
      </c>
      <c r="R17" s="42">
        <f t="shared" si="6"/>
        <v>37.888285576536759</v>
      </c>
      <c r="S17" s="42">
        <f t="shared" si="7"/>
        <v>-999</v>
      </c>
      <c r="T17" s="42">
        <f t="shared" si="8"/>
        <v>-999</v>
      </c>
      <c r="U17" s="42">
        <f t="shared" si="9"/>
        <v>-999</v>
      </c>
      <c r="V17" s="109">
        <f t="shared" si="10"/>
        <v>-999</v>
      </c>
      <c r="W17" s="120" t="str">
        <f>IF(AND($A17&gt;='Auswertung 3-Schicht'!D$3,$A17&lt;='Auswertung 3-Schicht'!D$4),Berechnung!C16,"")</f>
        <v/>
      </c>
      <c r="X17" s="118" t="str">
        <f>IF(AND($A17&gt;='Auswertung 3-Schicht'!E$3,$A17&lt;='Auswertung 3-Schicht'!E$4),Berechnung!D16,"")</f>
        <v/>
      </c>
      <c r="Y17" s="118" t="str">
        <f>IF(AND($A17&gt;='Auswertung 3-Schicht'!F$3,$A17&lt;='Auswertung 3-Schicht'!F$4),Berechnung!E16,"")</f>
        <v/>
      </c>
      <c r="Z17" s="132" t="str">
        <f>IF(AND($A17&gt;='Auswertung 3-Schicht'!G$3,$A17&lt;='Auswertung 3-Schicht'!G$4),Berechnung!F16,"")</f>
        <v/>
      </c>
      <c r="AA17" s="118" t="str">
        <f>IF(AND($A17&gt;='Auswertung 3-Schicht'!H$3,$A17&lt;='Auswertung 3-Schicht'!H$4),Berechnung!K16,"")</f>
        <v/>
      </c>
      <c r="AB17" s="134" t="str">
        <f>IF(AND($A17&gt;='Auswertung 3-Schicht'!I$3,$A17&lt;='Auswertung 3-Schicht'!I$4),Berechnung!L16,"")</f>
        <v/>
      </c>
      <c r="AC17" s="118" t="str">
        <f>IF(AND($A17&gt;='Auswertung 3-Schicht'!J$3,$A17&lt;='Auswertung 3-Schicht'!J$4),Berechnung!P16,"")</f>
        <v/>
      </c>
      <c r="AD17" s="121" t="str">
        <f>IF(AND($A17&gt;='Auswertung 3-Schicht'!K$3,$A17&lt;='Auswertung 3-Schicht'!K$4),Berechnung!Q16,"")</f>
        <v/>
      </c>
      <c r="AE17" s="136">
        <f>IF(AND($A17&gt;='Auswertung 3-Schicht'!D$6,$A17&lt;='Auswertung 3-Schicht'!D$7),Berechnung!C16,"")</f>
        <v>43.645850818582559</v>
      </c>
      <c r="AF17" s="118" t="str">
        <f>IF(AND($A17&gt;='Auswertung 3-Schicht'!E$6,$A17&lt;='Auswertung 3-Schicht'!E$7),Berechnung!D16,"")</f>
        <v/>
      </c>
      <c r="AG17" s="118" t="str">
        <f>IF(AND($A17&gt;='Auswertung 3-Schicht'!F$6,$A17&lt;='Auswertung 3-Schicht'!F$7),Berechnung!E16,"")</f>
        <v/>
      </c>
      <c r="AH17" s="118">
        <f>IF(AND($A17&gt;='Auswertung 3-Schicht'!G$6,$A17&lt;='Auswertung 3-Schicht'!G$7),Berechnung!F16,"")</f>
        <v>54.327487076635236</v>
      </c>
      <c r="AI17" s="118" t="str">
        <f>IF(AND($A17&gt;='Auswertung 3-Schicht'!H$6,$A17&lt;='Auswertung 3-Schicht'!H$7),Berechnung!K16,"")</f>
        <v/>
      </c>
      <c r="AJ17" s="118" t="str">
        <f>IF(AND($A17&gt;='Auswertung 3-Schicht'!I$6,$A17&lt;='Auswertung 3-Schicht'!I$7),Berechnung!L16,"")</f>
        <v/>
      </c>
      <c r="AK17" s="118" t="str">
        <f>IF(AND($A17&gt;='Auswertung 3-Schicht'!J$6,$A17&lt;='Auswertung 3-Schicht'!J$7),Berechnung!P16,"")</f>
        <v/>
      </c>
      <c r="AL17" s="118" t="str">
        <f>IF(AND($A17&gt;='Auswertung 3-Schicht'!K$6,$A17&lt;='Auswertung 3-Schicht'!K$7),Berechnung!Q16,"")</f>
        <v/>
      </c>
      <c r="AM17" s="120" t="str">
        <f>IF(AND($A17&gt;='Auswertung 3-Schicht'!D$10,$A17&lt;='Auswertung 3-Schicht'!D$11),Berechnung!C16,"")</f>
        <v/>
      </c>
      <c r="AN17" s="118" t="str">
        <f>IF(AND($A17&gt;='Auswertung 3-Schicht'!E$10,$A17&lt;='Auswertung 3-Schicht'!E$11),Berechnung!D16,"")</f>
        <v/>
      </c>
      <c r="AO17" s="118">
        <f>IF(AND($A17&gt;='Auswertung 3-Schicht'!F$10,$A17&lt;='Auswertung 3-Schicht'!F$11),Berechnung!E16,"")</f>
        <v>84.765364483473263</v>
      </c>
      <c r="AP17" s="118" t="str">
        <f>IF(AND($A17&gt;='Auswertung 3-Schicht'!G$10,$A17&lt;='Auswertung 3-Schicht'!G$11),Berechnung!F16,"")</f>
        <v/>
      </c>
      <c r="AQ17" s="118" t="str">
        <f>IF(AND($A17&gt;='Auswertung 3-Schicht'!H$10,$A17&lt;='Auswertung 3-Schicht'!H$11),Berechnung!K16,"")</f>
        <v/>
      </c>
      <c r="AR17" s="118" t="str">
        <f>IF(AND($A17&gt;='Auswertung 3-Schicht'!I$10,$A17&lt;='Auswertung 3-Schicht'!I$11),Berechnung!L16,"")</f>
        <v/>
      </c>
      <c r="AS17" s="118" t="str">
        <f>IF(AND($A17&gt;='Auswertung 3-Schicht'!J$10,$A17&lt;='Auswertung 3-Schicht'!J$11),Berechnung!P16,"")</f>
        <v/>
      </c>
      <c r="AT17" s="118" t="str">
        <f>IF(AND($A17&gt;='Auswertung 3-Schicht'!K$10,$A17&lt;='Auswertung 3-Schicht'!K$11),Berechnung!Q16,"")</f>
        <v/>
      </c>
      <c r="AU17" s="82">
        <f t="shared" si="11"/>
        <v>-999</v>
      </c>
      <c r="AV17" s="42">
        <f t="shared" si="12"/>
        <v>-999</v>
      </c>
      <c r="AW17" s="79">
        <f t="shared" si="13"/>
        <v>-999</v>
      </c>
      <c r="AX17" s="79">
        <f t="shared" si="14"/>
        <v>-999</v>
      </c>
      <c r="AY17" s="79">
        <f t="shared" si="15"/>
        <v>-999</v>
      </c>
      <c r="AZ17" s="42">
        <f t="shared" si="16"/>
        <v>-999</v>
      </c>
      <c r="BA17" s="83">
        <f t="shared" si="17"/>
        <v>-999</v>
      </c>
      <c r="BB17" s="80">
        <f t="shared" si="18"/>
        <v>43.645850818582559</v>
      </c>
      <c r="BC17" s="42">
        <f t="shared" si="19"/>
        <v>-999</v>
      </c>
      <c r="BD17" s="42">
        <f t="shared" si="20"/>
        <v>54.327487076635236</v>
      </c>
      <c r="BE17" s="42">
        <f t="shared" si="21"/>
        <v>-999</v>
      </c>
      <c r="BF17" s="42">
        <f t="shared" si="22"/>
        <v>-999</v>
      </c>
      <c r="BG17" s="42">
        <f t="shared" si="23"/>
        <v>-999</v>
      </c>
      <c r="BH17" s="83">
        <f t="shared" si="24"/>
        <v>-999</v>
      </c>
      <c r="BI17" s="82">
        <f t="shared" si="25"/>
        <v>-999</v>
      </c>
      <c r="BJ17" s="42">
        <f t="shared" si="26"/>
        <v>84.765364483473263</v>
      </c>
      <c r="BK17" s="42">
        <f t="shared" si="27"/>
        <v>-999</v>
      </c>
      <c r="BL17" s="42">
        <f t="shared" si="28"/>
        <v>-999</v>
      </c>
      <c r="BM17" s="42">
        <f t="shared" si="29"/>
        <v>-999</v>
      </c>
      <c r="BN17" s="42">
        <f t="shared" si="30"/>
        <v>-999</v>
      </c>
      <c r="BO17" s="83">
        <f t="shared" si="31"/>
        <v>-999</v>
      </c>
      <c r="BP17" s="80">
        <f>IF('Auswertung 2-Schicht'!O$4="",-999,MIN(1000*SQRT((A17+1)^2+AVERAGE(T0_Korrektur!D$1,T0_Korrektur!F$1,T0_Korrektur!H$1)^2)/'Auswertung 2-Schicht'!$O$4,'Auswertung 2-Schicht'!$O$8+1000*SQRT((A17+1)^2+AVERAGE(T0_Korrektur!D$1,T0_Korrektur!F$1,T0_Korrektur!H$1)^2)/'Auswertung 2-Schicht'!$O$7))</f>
        <v>58.999658294493898</v>
      </c>
      <c r="BQ17" s="83">
        <f>IF('Auswertung 3-Schicht'!N$4="",-999,IF('Auswertung 3-Schicht'!N$8="",MIN(1000*SQRT((A17+1)^2+AVERAGE(T0_Korrektur!D$1,T0_Korrektur!F$1,T0_Korrektur!H$1)^2)/'Auswertung 3-Schicht'!N$4,'Auswertung 3-Schicht'!N$6+1000*SQRT((A17+1)^2+AVERAGE(T0_Korrektur!D$1,T0_Korrektur!F$1,T0_Korrektur!H$1)^2)/'Auswertung 3-Schicht'!N$5),MIN(1000*SQRT((A17+1)^2+AVERAGE(T0_Korrektur!D$1,T0_Korrektur!F$1,T0_Korrektur!H$1)^2)/'Auswertung 3-Schicht'!N$4,'Auswertung 3-Schicht'!N$6+1000*SQRT((A17+1)^2+AVERAGE(T0_Korrektur!D$1,T0_Korrektur!F$1,T0_Korrektur!H$1)^2)/'Auswertung 3-Schicht'!N$5,'Auswertung 3-Schicht'!N$9+1000*SQRT((A17+1)^2+AVERAGE(T0_Korrektur!D$1,T0_Korrektur!F$1,T0_Korrektur!H$1)^2)/'Auswertung 3-Schicht'!N$8)))</f>
        <v>51.991619347891202</v>
      </c>
      <c r="BR17" s="82">
        <f>ABS(T0_Korrektur!C16)</f>
        <v>41.285015441440734</v>
      </c>
      <c r="BS17" s="42">
        <f>ABS(T0_Korrektur!E16)</f>
        <v>140.00914255862008</v>
      </c>
      <c r="BT17" s="42">
        <f>ABS(T0_Korrektur!I16)</f>
        <v>999</v>
      </c>
      <c r="BU17" s="79">
        <f>ABS(T0_Korrektur!M16)</f>
        <v>999</v>
      </c>
      <c r="BV17" s="120">
        <f>IF(T0_Korrektur!H16="","",T0_Korrektur!H16-Hilfsdaten!BP17)</f>
        <v>-4.6455582944938953</v>
      </c>
      <c r="BW17" s="118">
        <f>IF(T0_Korrektur!D40="","",T0_Korrektur!D40-Hilfsdaten!BP17)</f>
        <v>-8.1622582944938955</v>
      </c>
      <c r="BX17" s="118">
        <f>IF(T0_Korrektur!D13="","",T0_Korrektur!D13-Hilfsdaten!BP17)</f>
        <v>-7.7532582944938966</v>
      </c>
      <c r="BY17" s="118">
        <f>IF(T0_Korrektur!F43="","",T0_Korrektur!F43-Hilfsdaten!BP17)</f>
        <v>-22.880258294493899</v>
      </c>
      <c r="BZ17" s="120">
        <f>IF(T0_Korrektur!H16="","",T0_Korrektur!H16-Hilfsdaten!BQ17)</f>
        <v>2.3624806521088004</v>
      </c>
      <c r="CA17" s="118">
        <f>IF(T0_Korrektur!D40="","",T0_Korrektur!D40-Hilfsdaten!BQ17)</f>
        <v>-1.1542193478911997</v>
      </c>
      <c r="CB17" s="118">
        <f>IF(T0_Korrektur!D13="","",T0_Korrektur!D13-Hilfsdaten!BQ17)</f>
        <v>-0.74521934789120081</v>
      </c>
      <c r="CC17" s="121">
        <f>IF(T0_Korrektur!F43="","",T0_Korrektur!F43-Hilfsdaten!BQ17)</f>
        <v>-15.872219347891203</v>
      </c>
      <c r="CD17" s="115"/>
    </row>
    <row r="18" spans="1:82" x14ac:dyDescent="0.2">
      <c r="A18" s="130">
        <f>'Picks importieren'!B18</f>
        <v>60</v>
      </c>
      <c r="B18" s="120" t="str">
        <f>IF(AND($A18&gt;='Auswertung 2-Schicht'!C$3,$A18&lt;='Auswertung 2-Schicht'!C$4),Berechnung!C17,"")</f>
        <v/>
      </c>
      <c r="C18" s="118" t="str">
        <f>IF(AND($A18&gt;='Auswertung 2-Schicht'!D$3,$A18&lt;='Auswertung 2-Schicht'!D$4),Berechnung!D17,"")</f>
        <v/>
      </c>
      <c r="D18" s="118" t="str">
        <f>IF(AND($A18&gt;='Auswertung 2-Schicht'!E$3,$A18&lt;='Auswertung 2-Schicht'!E$4),Berechnung!G17,"")</f>
        <v/>
      </c>
      <c r="E18" s="121" t="str">
        <f>IF(AND($A18&gt;='Auswertung 2-Schicht'!F$3,$A18&lt;='Auswertung 2-Schicht'!F$4),Berechnung!F17,"")</f>
        <v/>
      </c>
      <c r="F18" s="131">
        <f>IF(AND($A18&gt;='Auswertung 2-Schicht'!H$3,$A18&lt;='Auswertung 2-Schicht'!H$4),IF('Auswertung 2-Schicht'!$H$8=1,Berechnung!I17,IF('Auswertung 2-Schicht'!$H$8=2,Berechnung!N17,Berechnung!S17)),"")</f>
        <v>68.722823294737381</v>
      </c>
      <c r="G18" s="118">
        <f>IF(AND($A18&gt;='Auswertung 2-Schicht'!H$3,$A18&lt;='Auswertung 2-Schicht'!H$4),IF('Auswertung 2-Schicht'!$H$8=1,Berechnung!J17,IF('Auswertung 2-Schicht'!$H$8=2,Berechnung!O17,Berechnung!T17)),"")</f>
        <v>39.689015297847305</v>
      </c>
      <c r="H18" s="118" t="str">
        <f>IF(AND($A18&gt;='Auswertung 2-Schicht'!I$3,$A18&lt;='Auswertung 2-Schicht'!I$4),Berechnung!K17,"")</f>
        <v/>
      </c>
      <c r="I18" s="132" t="str">
        <f>IF(AND($A18&gt;='Auswertung 2-Schicht'!J$3,$A18&lt;='Auswertung 2-Schicht'!J$4),Berechnung!L17,"")</f>
        <v/>
      </c>
      <c r="J18" s="118" t="str">
        <f>IF(AND($A18&gt;='Auswertung 2-Schicht'!K$3,$A18&lt;='Auswertung 2-Schicht'!K$4),Berechnung!P17,"")</f>
        <v/>
      </c>
      <c r="K18" s="134" t="str">
        <f>IF(AND($A18&gt;='Auswertung 2-Schicht'!L$3,$A18&lt;='Auswertung 2-Schicht'!L$4),Berechnung!Q17,"")</f>
        <v/>
      </c>
      <c r="L18" s="131">
        <f>IF('Auswertung 2-Schicht'!$H$8=1,Berechnung!I17,IF('Auswertung 2-Schicht'!$H$8=2,Berechnung!N17,Berechnung!S17))</f>
        <v>68.722823294737381</v>
      </c>
      <c r="M18" s="133">
        <f>IF('Auswertung 2-Schicht'!$H$8=1,Berechnung!J17,IF('Auswertung 2-Schicht'!$H$8=2,Berechnung!O17,Berechnung!T17))</f>
        <v>39.689015297847305</v>
      </c>
      <c r="N18" s="82">
        <f t="shared" si="4"/>
        <v>-999</v>
      </c>
      <c r="O18" s="42">
        <f t="shared" si="32"/>
        <v>-999</v>
      </c>
      <c r="P18" s="83">
        <f t="shared" si="33"/>
        <v>-999</v>
      </c>
      <c r="Q18" s="82">
        <f t="shared" si="5"/>
        <v>68.722823294737381</v>
      </c>
      <c r="R18" s="42">
        <f t="shared" si="6"/>
        <v>39.689015297847305</v>
      </c>
      <c r="S18" s="42">
        <f t="shared" si="7"/>
        <v>-999</v>
      </c>
      <c r="T18" s="42">
        <f t="shared" si="8"/>
        <v>-999</v>
      </c>
      <c r="U18" s="42">
        <f t="shared" si="9"/>
        <v>-999</v>
      </c>
      <c r="V18" s="109">
        <f t="shared" si="10"/>
        <v>-999</v>
      </c>
      <c r="W18" s="120" t="str">
        <f>IF(AND($A18&gt;='Auswertung 3-Schicht'!D$3,$A18&lt;='Auswertung 3-Schicht'!D$4),Berechnung!C17,"")</f>
        <v/>
      </c>
      <c r="X18" s="118" t="str">
        <f>IF(AND($A18&gt;='Auswertung 3-Schicht'!E$3,$A18&lt;='Auswertung 3-Schicht'!E$4),Berechnung!D17,"")</f>
        <v/>
      </c>
      <c r="Y18" s="118" t="str">
        <f>IF(AND($A18&gt;='Auswertung 3-Schicht'!F$3,$A18&lt;='Auswertung 3-Schicht'!F$4),Berechnung!E17,"")</f>
        <v/>
      </c>
      <c r="Z18" s="132" t="str">
        <f>IF(AND($A18&gt;='Auswertung 3-Schicht'!G$3,$A18&lt;='Auswertung 3-Schicht'!G$4),Berechnung!F17,"")</f>
        <v/>
      </c>
      <c r="AA18" s="118" t="str">
        <f>IF(AND($A18&gt;='Auswertung 3-Schicht'!H$3,$A18&lt;='Auswertung 3-Schicht'!H$4),Berechnung!K17,"")</f>
        <v/>
      </c>
      <c r="AB18" s="134" t="str">
        <f>IF(AND($A18&gt;='Auswertung 3-Schicht'!I$3,$A18&lt;='Auswertung 3-Schicht'!I$4),Berechnung!L17,"")</f>
        <v/>
      </c>
      <c r="AC18" s="118" t="str">
        <f>IF(AND($A18&gt;='Auswertung 3-Schicht'!J$3,$A18&lt;='Auswertung 3-Schicht'!J$4),Berechnung!P17,"")</f>
        <v/>
      </c>
      <c r="AD18" s="121" t="str">
        <f>IF(AND($A18&gt;='Auswertung 3-Schicht'!K$3,$A18&lt;='Auswertung 3-Schicht'!K$4),Berechnung!Q17,"")</f>
        <v/>
      </c>
      <c r="AE18" s="136">
        <f>IF(AND($A18&gt;='Auswertung 3-Schicht'!D$6,$A18&lt;='Auswertung 3-Schicht'!D$7),Berechnung!C17,"")</f>
        <v>41.057076657646924</v>
      </c>
      <c r="AF18" s="118" t="str">
        <f>IF(AND($A18&gt;='Auswertung 3-Schicht'!E$6,$A18&lt;='Auswertung 3-Schicht'!E$7),Berechnung!D17,"")</f>
        <v/>
      </c>
      <c r="AG18" s="118" t="str">
        <f>IF(AND($A18&gt;='Auswertung 3-Schicht'!F$6,$A18&lt;='Auswertung 3-Schicht'!F$7),Berechnung!E17,"")</f>
        <v/>
      </c>
      <c r="AH18" s="118">
        <f>IF(AND($A18&gt;='Auswertung 3-Schicht'!G$6,$A18&lt;='Auswertung 3-Schicht'!G$7),Berechnung!F17,"")</f>
        <v>57.559433899422075</v>
      </c>
      <c r="AI18" s="118" t="str">
        <f>IF(AND($A18&gt;='Auswertung 3-Schicht'!H$6,$A18&lt;='Auswertung 3-Schicht'!H$7),Berechnung!K17,"")</f>
        <v/>
      </c>
      <c r="AJ18" s="118" t="str">
        <f>IF(AND($A18&gt;='Auswertung 3-Schicht'!I$6,$A18&lt;='Auswertung 3-Schicht'!I$7),Berechnung!L17,"")</f>
        <v/>
      </c>
      <c r="AK18" s="118" t="str">
        <f>IF(AND($A18&gt;='Auswertung 3-Schicht'!J$6,$A18&lt;='Auswertung 3-Schicht'!J$7),Berechnung!P17,"")</f>
        <v/>
      </c>
      <c r="AL18" s="118" t="str">
        <f>IF(AND($A18&gt;='Auswertung 3-Schicht'!K$6,$A18&lt;='Auswertung 3-Schicht'!K$7),Berechnung!Q17,"")</f>
        <v/>
      </c>
      <c r="AM18" s="120" t="str">
        <f>IF(AND($A18&gt;='Auswertung 3-Schicht'!D$10,$A18&lt;='Auswertung 3-Schicht'!D$11),Berechnung!C17,"")</f>
        <v/>
      </c>
      <c r="AN18" s="118" t="str">
        <f>IF(AND($A18&gt;='Auswertung 3-Schicht'!E$10,$A18&lt;='Auswertung 3-Schicht'!E$11),Berechnung!D17,"")</f>
        <v/>
      </c>
      <c r="AO18" s="118">
        <f>IF(AND($A18&gt;='Auswertung 3-Schicht'!F$10,$A18&lt;='Auswertung 3-Schicht'!F$11),Berechnung!E17,"")</f>
        <v>83.334147381996971</v>
      </c>
      <c r="AP18" s="118" t="str">
        <f>IF(AND($A18&gt;='Auswertung 3-Schicht'!G$10,$A18&lt;='Auswertung 3-Schicht'!G$11),Berechnung!F17,"")</f>
        <v/>
      </c>
      <c r="AQ18" s="118" t="str">
        <f>IF(AND($A18&gt;='Auswertung 3-Schicht'!H$10,$A18&lt;='Auswertung 3-Schicht'!H$11),Berechnung!K17,"")</f>
        <v/>
      </c>
      <c r="AR18" s="118" t="str">
        <f>IF(AND($A18&gt;='Auswertung 3-Schicht'!I$10,$A18&lt;='Auswertung 3-Schicht'!I$11),Berechnung!L17,"")</f>
        <v/>
      </c>
      <c r="AS18" s="118" t="str">
        <f>IF(AND($A18&gt;='Auswertung 3-Schicht'!J$10,$A18&lt;='Auswertung 3-Schicht'!J$11),Berechnung!P17,"")</f>
        <v/>
      </c>
      <c r="AT18" s="118" t="str">
        <f>IF(AND($A18&gt;='Auswertung 3-Schicht'!K$10,$A18&lt;='Auswertung 3-Schicht'!K$11),Berechnung!Q17,"")</f>
        <v/>
      </c>
      <c r="AU18" s="82">
        <f t="shared" si="11"/>
        <v>-999</v>
      </c>
      <c r="AV18" s="42">
        <f t="shared" si="12"/>
        <v>-999</v>
      </c>
      <c r="AW18" s="79">
        <f t="shared" si="13"/>
        <v>-999</v>
      </c>
      <c r="AX18" s="79">
        <f t="shared" si="14"/>
        <v>-999</v>
      </c>
      <c r="AY18" s="79">
        <f t="shared" si="15"/>
        <v>-999</v>
      </c>
      <c r="AZ18" s="42">
        <f t="shared" si="16"/>
        <v>-999</v>
      </c>
      <c r="BA18" s="83">
        <f t="shared" si="17"/>
        <v>-999</v>
      </c>
      <c r="BB18" s="80">
        <f t="shared" si="18"/>
        <v>41.057076657646924</v>
      </c>
      <c r="BC18" s="42">
        <f t="shared" si="19"/>
        <v>-999</v>
      </c>
      <c r="BD18" s="42">
        <f t="shared" si="20"/>
        <v>57.559433899422075</v>
      </c>
      <c r="BE18" s="42">
        <f t="shared" si="21"/>
        <v>-999</v>
      </c>
      <c r="BF18" s="42">
        <f t="shared" si="22"/>
        <v>-999</v>
      </c>
      <c r="BG18" s="42">
        <f t="shared" si="23"/>
        <v>-999</v>
      </c>
      <c r="BH18" s="83">
        <f t="shared" si="24"/>
        <v>-999</v>
      </c>
      <c r="BI18" s="82">
        <f t="shared" si="25"/>
        <v>-999</v>
      </c>
      <c r="BJ18" s="42">
        <f t="shared" si="26"/>
        <v>83.334147381996971</v>
      </c>
      <c r="BK18" s="42">
        <f t="shared" si="27"/>
        <v>-999</v>
      </c>
      <c r="BL18" s="42">
        <f t="shared" si="28"/>
        <v>-999</v>
      </c>
      <c r="BM18" s="42">
        <f t="shared" si="29"/>
        <v>-999</v>
      </c>
      <c r="BN18" s="42">
        <f t="shared" si="30"/>
        <v>-999</v>
      </c>
      <c r="BO18" s="83">
        <f t="shared" si="31"/>
        <v>-999</v>
      </c>
      <c r="BP18" s="80">
        <f>IF('Auswertung 2-Schicht'!O$4="",-999,MIN(1000*SQRT((A18+1)^2+AVERAGE(T0_Korrektur!D$1,T0_Korrektur!F$1,T0_Korrektur!H$1)^2)/'Auswertung 2-Schicht'!$O$4,'Auswertung 2-Schicht'!$O$8+1000*SQRT((A18+1)^2+AVERAGE(T0_Korrektur!D$1,T0_Korrektur!F$1,T0_Korrektur!H$1)^2)/'Auswertung 2-Schicht'!$O$7))</f>
        <v>60.951898226023019</v>
      </c>
      <c r="BQ18" s="83">
        <f>IF('Auswertung 3-Schicht'!N$4="",-999,IF('Auswertung 3-Schicht'!N$8="",MIN(1000*SQRT((A18+1)^2+AVERAGE(T0_Korrektur!D$1,T0_Korrektur!F$1,T0_Korrektur!H$1)^2)/'Auswertung 3-Schicht'!N$4,'Auswertung 3-Schicht'!N$6+1000*SQRT((A18+1)^2+AVERAGE(T0_Korrektur!D$1,T0_Korrektur!F$1,T0_Korrektur!H$1)^2)/'Auswertung 3-Schicht'!N$5),MIN(1000*SQRT((A18+1)^2+AVERAGE(T0_Korrektur!D$1,T0_Korrektur!F$1,T0_Korrektur!H$1)^2)/'Auswertung 3-Schicht'!N$4,'Auswertung 3-Schicht'!N$6+1000*SQRT((A18+1)^2+AVERAGE(T0_Korrektur!D$1,T0_Korrektur!F$1,T0_Korrektur!H$1)^2)/'Auswertung 3-Schicht'!N$5,'Auswertung 3-Schicht'!N$9+1000*SQRT((A18+1)^2+AVERAGE(T0_Korrektur!D$1,T0_Korrektur!F$1,T0_Korrektur!H$1)^2)/'Auswertung 3-Schicht'!N$8)))</f>
        <v>54.707223662939938</v>
      </c>
      <c r="BR18" s="82">
        <f>ABS(T0_Korrektur!C17)</f>
        <v>36.289840176005185</v>
      </c>
      <c r="BS18" s="42">
        <f>ABS(T0_Korrektur!E17)</f>
        <v>135.00948114854751</v>
      </c>
      <c r="BT18" s="42">
        <f>ABS(T0_Korrektur!I17)</f>
        <v>999</v>
      </c>
      <c r="BU18" s="79">
        <f>ABS(T0_Korrektur!M17)</f>
        <v>999</v>
      </c>
      <c r="BV18" s="120">
        <f>IF(T0_Korrektur!H17="","",T0_Korrektur!H17-Hilfsdaten!BP18)</f>
        <v>-3.3685982260230176</v>
      </c>
      <c r="BW18" s="118">
        <f>IF(T0_Korrektur!D41="","",T0_Korrektur!D41-Hilfsdaten!BP18)</f>
        <v>-7.4568982260230214</v>
      </c>
      <c r="BX18" s="118">
        <f>IF(T0_Korrektur!D12="","",T0_Korrektur!D12-Hilfsdaten!BP18)</f>
        <v>-6.4348982260230159</v>
      </c>
      <c r="BY18" s="118">
        <f>IF(T0_Korrektur!F42="","",T0_Korrektur!F42-Hilfsdaten!BP18)</f>
        <v>-22.583898226023017</v>
      </c>
      <c r="BZ18" s="120">
        <f>IF(T0_Korrektur!H17="","",T0_Korrektur!H17-Hilfsdaten!BQ18)</f>
        <v>2.8760763370600628</v>
      </c>
      <c r="CA18" s="118">
        <f>IF(T0_Korrektur!D41="","",T0_Korrektur!D41-Hilfsdaten!BQ18)</f>
        <v>-1.212223662939941</v>
      </c>
      <c r="CB18" s="118">
        <f>IF(T0_Korrektur!D12="","",T0_Korrektur!D12-Hilfsdaten!BQ18)</f>
        <v>-0.19022366293993542</v>
      </c>
      <c r="CC18" s="121">
        <f>IF(T0_Korrektur!F42="","",T0_Korrektur!F42-Hilfsdaten!BQ18)</f>
        <v>-16.339223662939936</v>
      </c>
      <c r="CD18" s="115"/>
    </row>
    <row r="19" spans="1:82" x14ac:dyDescent="0.2">
      <c r="A19" s="130">
        <f>'Picks importieren'!B19</f>
        <v>65</v>
      </c>
      <c r="B19" s="120" t="str">
        <f>IF(AND($A19&gt;='Auswertung 2-Schicht'!C$3,$A19&lt;='Auswertung 2-Schicht'!C$4),Berechnung!C18,"")</f>
        <v/>
      </c>
      <c r="C19" s="118" t="str">
        <f>IF(AND($A19&gt;='Auswertung 2-Schicht'!D$3,$A19&lt;='Auswertung 2-Schicht'!D$4),Berechnung!D18,"")</f>
        <v/>
      </c>
      <c r="D19" s="118" t="str">
        <f>IF(AND($A19&gt;='Auswertung 2-Schicht'!E$3,$A19&lt;='Auswertung 2-Schicht'!E$4),Berechnung!G18,"")</f>
        <v/>
      </c>
      <c r="E19" s="121" t="str">
        <f>IF(AND($A19&gt;='Auswertung 2-Schicht'!F$3,$A19&lt;='Auswertung 2-Schicht'!F$4),Berechnung!F18,"")</f>
        <v/>
      </c>
      <c r="F19" s="131">
        <f>IF(AND($A19&gt;='Auswertung 2-Schicht'!H$3,$A19&lt;='Auswertung 2-Schicht'!H$4),IF('Auswertung 2-Schicht'!$H$8=1,Berechnung!I18,IF('Auswertung 2-Schicht'!$H$8=2,Berechnung!N18,Berechnung!S18)),"")</f>
        <v>73.018474010244773</v>
      </c>
      <c r="G19" s="118">
        <f>IF(AND($A19&gt;='Auswertung 2-Schicht'!H$3,$A19&lt;='Auswertung 2-Schicht'!H$4),IF('Auswertung 2-Schicht'!$H$8=1,Berechnung!J18,IF('Auswertung 2-Schicht'!$H$8=2,Berechnung!O18,Berechnung!T18)),"")</f>
        <v>40.304427059333875</v>
      </c>
      <c r="H19" s="118" t="str">
        <f>IF(AND($A19&gt;='Auswertung 2-Schicht'!I$3,$A19&lt;='Auswertung 2-Schicht'!I$4),Berechnung!K18,"")</f>
        <v/>
      </c>
      <c r="I19" s="132" t="str">
        <f>IF(AND($A19&gt;='Auswertung 2-Schicht'!J$3,$A19&lt;='Auswertung 2-Schicht'!J$4),Berechnung!L18,"")</f>
        <v/>
      </c>
      <c r="J19" s="118" t="str">
        <f>IF(AND($A19&gt;='Auswertung 2-Schicht'!K$3,$A19&lt;='Auswertung 2-Schicht'!K$4),Berechnung!P18,"")</f>
        <v/>
      </c>
      <c r="K19" s="134" t="str">
        <f>IF(AND($A19&gt;='Auswertung 2-Schicht'!L$3,$A19&lt;='Auswertung 2-Schicht'!L$4),Berechnung!Q18,"")</f>
        <v/>
      </c>
      <c r="L19" s="131">
        <f>IF('Auswertung 2-Schicht'!$H$8=1,Berechnung!I18,IF('Auswertung 2-Schicht'!$H$8=2,Berechnung!N18,Berechnung!S18))</f>
        <v>73.018474010244773</v>
      </c>
      <c r="M19" s="133">
        <f>IF('Auswertung 2-Schicht'!$H$8=1,Berechnung!J18,IF('Auswertung 2-Schicht'!$H$8=2,Berechnung!O18,Berechnung!T18))</f>
        <v>40.304427059333875</v>
      </c>
      <c r="N19" s="82">
        <f t="shared" si="4"/>
        <v>-999</v>
      </c>
      <c r="O19" s="42">
        <f t="shared" si="32"/>
        <v>-999</v>
      </c>
      <c r="P19" s="83">
        <f t="shared" si="33"/>
        <v>-999</v>
      </c>
      <c r="Q19" s="82">
        <f t="shared" si="5"/>
        <v>73.018474010244773</v>
      </c>
      <c r="R19" s="42">
        <f t="shared" si="6"/>
        <v>40.304427059333875</v>
      </c>
      <c r="S19" s="42">
        <f t="shared" si="7"/>
        <v>-999</v>
      </c>
      <c r="T19" s="42">
        <f t="shared" si="8"/>
        <v>-999</v>
      </c>
      <c r="U19" s="42">
        <f t="shared" si="9"/>
        <v>-999</v>
      </c>
      <c r="V19" s="109">
        <f t="shared" si="10"/>
        <v>-999</v>
      </c>
      <c r="W19" s="120" t="str">
        <f>IF(AND($A19&gt;='Auswertung 3-Schicht'!D$3,$A19&lt;='Auswertung 3-Schicht'!D$4),Berechnung!C18,"")</f>
        <v/>
      </c>
      <c r="X19" s="118" t="str">
        <f>IF(AND($A19&gt;='Auswertung 3-Schicht'!E$3,$A19&lt;='Auswertung 3-Schicht'!E$4),Berechnung!D18,"")</f>
        <v/>
      </c>
      <c r="Y19" s="118" t="str">
        <f>IF(AND($A19&gt;='Auswertung 3-Schicht'!F$3,$A19&lt;='Auswertung 3-Schicht'!F$4),Berechnung!E18,"")</f>
        <v/>
      </c>
      <c r="Z19" s="132" t="str">
        <f>IF(AND($A19&gt;='Auswertung 3-Schicht'!G$3,$A19&lt;='Auswertung 3-Schicht'!G$4),Berechnung!F18,"")</f>
        <v/>
      </c>
      <c r="AA19" s="118" t="str">
        <f>IF(AND($A19&gt;='Auswertung 3-Schicht'!H$3,$A19&lt;='Auswertung 3-Schicht'!H$4),Berechnung!K18,"")</f>
        <v/>
      </c>
      <c r="AB19" s="134" t="str">
        <f>IF(AND($A19&gt;='Auswertung 3-Schicht'!I$3,$A19&lt;='Auswertung 3-Schicht'!I$4),Berechnung!L18,"")</f>
        <v/>
      </c>
      <c r="AC19" s="118" t="str">
        <f>IF(AND($A19&gt;='Auswertung 3-Schicht'!J$3,$A19&lt;='Auswertung 3-Schicht'!J$4),Berechnung!P18,"")</f>
        <v/>
      </c>
      <c r="AD19" s="121" t="str">
        <f>IF(AND($A19&gt;='Auswertung 3-Schicht'!K$3,$A19&lt;='Auswertung 3-Schicht'!K$4),Berechnung!Q18,"")</f>
        <v/>
      </c>
      <c r="AE19" s="136">
        <f>IF(AND($A19&gt;='Auswertung 3-Schicht'!D$6,$A19&lt;='Auswertung 3-Schicht'!D$7),Berechnung!C18,"")</f>
        <v>38.019784445143436</v>
      </c>
      <c r="AF19" s="118" t="str">
        <f>IF(AND($A19&gt;='Auswertung 3-Schicht'!E$6,$A19&lt;='Auswertung 3-Schicht'!E$7),Berechnung!D18,"")</f>
        <v/>
      </c>
      <c r="AG19" s="118" t="str">
        <f>IF(AND($A19&gt;='Auswertung 3-Schicht'!F$6,$A19&lt;='Auswertung 3-Schicht'!F$7),Berechnung!E18,"")</f>
        <v/>
      </c>
      <c r="AH19" s="118">
        <f>IF(AND($A19&gt;='Auswertung 3-Schicht'!G$6,$A19&lt;='Auswertung 3-Schicht'!G$7),Berechnung!F18,"")</f>
        <v>60.014965137919063</v>
      </c>
      <c r="AI19" s="118" t="str">
        <f>IF(AND($A19&gt;='Auswertung 3-Schicht'!H$6,$A19&lt;='Auswertung 3-Schicht'!H$7),Berechnung!K18,"")</f>
        <v/>
      </c>
      <c r="AJ19" s="118" t="str">
        <f>IF(AND($A19&gt;='Auswertung 3-Schicht'!I$6,$A19&lt;='Auswertung 3-Schicht'!I$7),Berechnung!L18,"")</f>
        <v/>
      </c>
      <c r="AK19" s="118" t="str">
        <f>IF(AND($A19&gt;='Auswertung 3-Schicht'!J$6,$A19&lt;='Auswertung 3-Schicht'!J$7),Berechnung!P18,"")</f>
        <v/>
      </c>
      <c r="AL19" s="118" t="str">
        <f>IF(AND($A19&gt;='Auswertung 3-Schicht'!K$6,$A19&lt;='Auswertung 3-Schicht'!K$7),Berechnung!Q18,"")</f>
        <v/>
      </c>
      <c r="AM19" s="120" t="str">
        <f>IF(AND($A19&gt;='Auswertung 3-Schicht'!D$10,$A19&lt;='Auswertung 3-Schicht'!D$11),Berechnung!C18,"")</f>
        <v/>
      </c>
      <c r="AN19" s="118" t="str">
        <f>IF(AND($A19&gt;='Auswertung 3-Schicht'!E$10,$A19&lt;='Auswertung 3-Schicht'!E$11),Berechnung!D18,"")</f>
        <v/>
      </c>
      <c r="AO19" s="118">
        <f>IF(AND($A19&gt;='Auswertung 3-Schicht'!F$10,$A19&lt;='Auswertung 3-Schicht'!F$11),Berechnung!E18,"")</f>
        <v>81.494027904986567</v>
      </c>
      <c r="AP19" s="118" t="str">
        <f>IF(AND($A19&gt;='Auswertung 3-Schicht'!G$10,$A19&lt;='Auswertung 3-Schicht'!G$11),Berechnung!F18,"")</f>
        <v/>
      </c>
      <c r="AQ19" s="118" t="str">
        <f>IF(AND($A19&gt;='Auswertung 3-Schicht'!H$10,$A19&lt;='Auswertung 3-Schicht'!H$11),Berechnung!K18,"")</f>
        <v/>
      </c>
      <c r="AR19" s="118" t="str">
        <f>IF(AND($A19&gt;='Auswertung 3-Schicht'!I$10,$A19&lt;='Auswertung 3-Schicht'!I$11),Berechnung!L18,"")</f>
        <v/>
      </c>
      <c r="AS19" s="118" t="str">
        <f>IF(AND($A19&gt;='Auswertung 3-Schicht'!J$10,$A19&lt;='Auswertung 3-Schicht'!J$11),Berechnung!P18,"")</f>
        <v/>
      </c>
      <c r="AT19" s="118" t="str">
        <f>IF(AND($A19&gt;='Auswertung 3-Schicht'!K$10,$A19&lt;='Auswertung 3-Schicht'!K$11),Berechnung!Q18,"")</f>
        <v/>
      </c>
      <c r="AU19" s="82">
        <f t="shared" si="11"/>
        <v>-999</v>
      </c>
      <c r="AV19" s="42">
        <f t="shared" si="12"/>
        <v>-999</v>
      </c>
      <c r="AW19" s="79">
        <f t="shared" si="13"/>
        <v>-999</v>
      </c>
      <c r="AX19" s="79">
        <f t="shared" si="14"/>
        <v>-999</v>
      </c>
      <c r="AY19" s="79">
        <f t="shared" si="15"/>
        <v>-999</v>
      </c>
      <c r="AZ19" s="42">
        <f t="shared" si="16"/>
        <v>-999</v>
      </c>
      <c r="BA19" s="83">
        <f t="shared" si="17"/>
        <v>-999</v>
      </c>
      <c r="BB19" s="80">
        <f t="shared" si="18"/>
        <v>38.019784445143436</v>
      </c>
      <c r="BC19" s="42">
        <f t="shared" si="19"/>
        <v>-999</v>
      </c>
      <c r="BD19" s="42">
        <f t="shared" si="20"/>
        <v>60.014965137919063</v>
      </c>
      <c r="BE19" s="42">
        <f t="shared" si="21"/>
        <v>-999</v>
      </c>
      <c r="BF19" s="42">
        <f t="shared" si="22"/>
        <v>-999</v>
      </c>
      <c r="BG19" s="42">
        <f t="shared" si="23"/>
        <v>-999</v>
      </c>
      <c r="BH19" s="83">
        <f t="shared" si="24"/>
        <v>-999</v>
      </c>
      <c r="BI19" s="82">
        <f t="shared" si="25"/>
        <v>-999</v>
      </c>
      <c r="BJ19" s="42">
        <f t="shared" si="26"/>
        <v>81.494027904986567</v>
      </c>
      <c r="BK19" s="42">
        <f t="shared" si="27"/>
        <v>-999</v>
      </c>
      <c r="BL19" s="42">
        <f t="shared" si="28"/>
        <v>-999</v>
      </c>
      <c r="BM19" s="42">
        <f t="shared" si="29"/>
        <v>-999</v>
      </c>
      <c r="BN19" s="42">
        <f t="shared" si="30"/>
        <v>-999</v>
      </c>
      <c r="BO19" s="83">
        <f t="shared" si="31"/>
        <v>-999</v>
      </c>
      <c r="BP19" s="80">
        <f>IF('Auswertung 2-Schicht'!O$4="",-999,MIN(1000*SQRT((A19+1)^2+AVERAGE(T0_Korrektur!D$1,T0_Korrektur!F$1,T0_Korrektur!H$1)^2)/'Auswertung 2-Schicht'!$O$4,'Auswertung 2-Schicht'!$O$8+1000*SQRT((A19+1)^2+AVERAGE(T0_Korrektur!D$1,T0_Korrektur!F$1,T0_Korrektur!H$1)^2)/'Auswertung 2-Schicht'!$O$7))</f>
        <v>62.904263186901289</v>
      </c>
      <c r="BQ19" s="83">
        <f>IF('Auswertung 3-Schicht'!N$4="",-999,IF('Auswertung 3-Schicht'!N$8="",MIN(1000*SQRT((A19+1)^2+AVERAGE(T0_Korrektur!D$1,T0_Korrektur!F$1,T0_Korrektur!H$1)^2)/'Auswertung 3-Schicht'!N$4,'Auswertung 3-Schicht'!N$6+1000*SQRT((A19+1)^2+AVERAGE(T0_Korrektur!D$1,T0_Korrektur!F$1,T0_Korrektur!H$1)^2)/'Auswertung 3-Schicht'!N$5),MIN(1000*SQRT((A19+1)^2+AVERAGE(T0_Korrektur!D$1,T0_Korrektur!F$1,T0_Korrektur!H$1)^2)/'Auswertung 3-Schicht'!N$4,'Auswertung 3-Schicht'!N$6+1000*SQRT((A19+1)^2+AVERAGE(T0_Korrektur!D$1,T0_Korrektur!F$1,T0_Korrektur!H$1)^2)/'Auswertung 3-Schicht'!N$5,'Auswertung 3-Schicht'!N$9+1000*SQRT((A19+1)^2+AVERAGE(T0_Korrektur!D$1,T0_Korrektur!F$1,T0_Korrektur!H$1)^2)/'Auswertung 3-Schicht'!N$8)))</f>
        <v>57.423001896283566</v>
      </c>
      <c r="BR19" s="82">
        <f>ABS(T0_Korrektur!C18)</f>
        <v>31.296205840325118</v>
      </c>
      <c r="BS19" s="42">
        <f>ABS(T0_Korrektur!E18)</f>
        <v>130.0098457810023</v>
      </c>
      <c r="BT19" s="42">
        <f>ABS(T0_Korrektur!I18)</f>
        <v>999</v>
      </c>
      <c r="BU19" s="79">
        <f>ABS(T0_Korrektur!M18)</f>
        <v>999</v>
      </c>
      <c r="BV19" s="120">
        <f>IF(T0_Korrektur!H18="","",T0_Korrektur!H18-Hilfsdaten!BP19)</f>
        <v>-2.8679631869012923</v>
      </c>
      <c r="BW19" s="118">
        <f>IF(T0_Korrektur!D42="","",T0_Korrektur!D42-Hilfsdaten!BP19)</f>
        <v>-6.4586631869012905</v>
      </c>
      <c r="BX19" s="118">
        <f>IF(T0_Korrektur!D11="","",T0_Korrektur!D11-Hilfsdaten!BP19)</f>
        <v>-5.7297631869012875</v>
      </c>
      <c r="BY19" s="118">
        <f>IF(T0_Korrektur!F41="","",T0_Korrektur!F41-Hilfsdaten!BP19)</f>
        <v>-21.469963186901289</v>
      </c>
      <c r="BZ19" s="120">
        <f>IF(T0_Korrektur!H18="","",T0_Korrektur!H18-Hilfsdaten!BQ19)</f>
        <v>2.6132981037164313</v>
      </c>
      <c r="CA19" s="118">
        <f>IF(T0_Korrektur!D42="","",T0_Korrektur!D42-Hilfsdaten!BQ19)</f>
        <v>-0.97740189628356688</v>
      </c>
      <c r="CB19" s="118">
        <f>IF(T0_Korrektur!D11="","",T0_Korrektur!D11-Hilfsdaten!BQ19)</f>
        <v>-0.24850189628356389</v>
      </c>
      <c r="CC19" s="121">
        <f>IF(T0_Korrektur!F41="","",T0_Korrektur!F41-Hilfsdaten!BQ19)</f>
        <v>-15.988701896283565</v>
      </c>
      <c r="CD19" s="115"/>
    </row>
    <row r="20" spans="1:82" x14ac:dyDescent="0.2">
      <c r="A20" s="130">
        <f>'Picks importieren'!B20</f>
        <v>70</v>
      </c>
      <c r="B20" s="120" t="str">
        <f>IF(AND($A20&gt;='Auswertung 2-Schicht'!C$3,$A20&lt;='Auswertung 2-Schicht'!C$4),Berechnung!C19,"")</f>
        <v/>
      </c>
      <c r="C20" s="118" t="str">
        <f>IF(AND($A20&gt;='Auswertung 2-Schicht'!D$3,$A20&lt;='Auswertung 2-Schicht'!D$4),Berechnung!D19,"")</f>
        <v/>
      </c>
      <c r="D20" s="118" t="str">
        <f>IF(AND($A20&gt;='Auswertung 2-Schicht'!E$3,$A20&lt;='Auswertung 2-Schicht'!E$4),Berechnung!G19,"")</f>
        <v/>
      </c>
      <c r="E20" s="121" t="str">
        <f>IF(AND($A20&gt;='Auswertung 2-Schicht'!F$3,$A20&lt;='Auswertung 2-Schicht'!F$4),Berechnung!F19,"")</f>
        <v/>
      </c>
      <c r="F20" s="131">
        <f>IF(AND($A20&gt;='Auswertung 2-Schicht'!H$3,$A20&lt;='Auswertung 2-Schicht'!H$4),IF('Auswertung 2-Schicht'!$H$8=1,Berechnung!I19,IF('Auswertung 2-Schicht'!$H$8=2,Berechnung!N19,Berechnung!S19)),"")</f>
        <v>77.313618696484482</v>
      </c>
      <c r="G20" s="118">
        <f>IF(AND($A20&gt;='Auswertung 2-Schicht'!H$3,$A20&lt;='Auswertung 2-Schicht'!H$4),IF('Auswertung 2-Schicht'!$H$8=1,Berechnung!J19,IF('Auswertung 2-Schicht'!$H$8=2,Berechnung!O19,Berechnung!T19)),"")</f>
        <v>41.736998993276359</v>
      </c>
      <c r="H20" s="118" t="str">
        <f>IF(AND($A20&gt;='Auswertung 2-Schicht'!I$3,$A20&lt;='Auswertung 2-Schicht'!I$4),Berechnung!K19,"")</f>
        <v/>
      </c>
      <c r="I20" s="132" t="str">
        <f>IF(AND($A20&gt;='Auswertung 2-Schicht'!J$3,$A20&lt;='Auswertung 2-Schicht'!J$4),Berechnung!L19,"")</f>
        <v/>
      </c>
      <c r="J20" s="118" t="str">
        <f>IF(AND($A20&gt;='Auswertung 2-Schicht'!K$3,$A20&lt;='Auswertung 2-Schicht'!K$4),Berechnung!P19,"")</f>
        <v/>
      </c>
      <c r="K20" s="134" t="str">
        <f>IF(AND($A20&gt;='Auswertung 2-Schicht'!L$3,$A20&lt;='Auswertung 2-Schicht'!L$4),Berechnung!Q19,"")</f>
        <v/>
      </c>
      <c r="L20" s="131">
        <f>IF('Auswertung 2-Schicht'!$H$8=1,Berechnung!I19,IF('Auswertung 2-Schicht'!$H$8=2,Berechnung!N19,Berechnung!S19))</f>
        <v>77.313618696484482</v>
      </c>
      <c r="M20" s="133">
        <f>IF('Auswertung 2-Schicht'!$H$8=1,Berechnung!J19,IF('Auswertung 2-Schicht'!$H$8=2,Berechnung!O19,Berechnung!T19))</f>
        <v>41.736998993276359</v>
      </c>
      <c r="N20" s="82">
        <f t="shared" si="4"/>
        <v>-999</v>
      </c>
      <c r="O20" s="42">
        <f t="shared" si="32"/>
        <v>-999</v>
      </c>
      <c r="P20" s="83">
        <f t="shared" si="33"/>
        <v>-999</v>
      </c>
      <c r="Q20" s="82">
        <f t="shared" si="5"/>
        <v>77.313618696484482</v>
      </c>
      <c r="R20" s="42">
        <f t="shared" si="6"/>
        <v>41.736998993276359</v>
      </c>
      <c r="S20" s="42">
        <f t="shared" si="7"/>
        <v>-999</v>
      </c>
      <c r="T20" s="42">
        <f t="shared" si="8"/>
        <v>-999</v>
      </c>
      <c r="U20" s="42">
        <f t="shared" si="9"/>
        <v>-999</v>
      </c>
      <c r="V20" s="109">
        <f t="shared" si="10"/>
        <v>-999</v>
      </c>
      <c r="W20" s="120" t="str">
        <f>IF(AND($A20&gt;='Auswertung 3-Schicht'!D$3,$A20&lt;='Auswertung 3-Schicht'!D$4),Berechnung!C19,"")</f>
        <v/>
      </c>
      <c r="X20" s="118" t="str">
        <f>IF(AND($A20&gt;='Auswertung 3-Schicht'!E$3,$A20&lt;='Auswertung 3-Schicht'!E$4),Berechnung!D19,"")</f>
        <v/>
      </c>
      <c r="Y20" s="118" t="str">
        <f>IF(AND($A20&gt;='Auswertung 3-Schicht'!F$3,$A20&lt;='Auswertung 3-Schicht'!F$4),Berechnung!E19,"")</f>
        <v/>
      </c>
      <c r="Z20" s="132" t="str">
        <f>IF(AND($A20&gt;='Auswertung 3-Schicht'!G$3,$A20&lt;='Auswertung 3-Schicht'!G$4),Berechnung!F19,"")</f>
        <v/>
      </c>
      <c r="AA20" s="118" t="str">
        <f>IF(AND($A20&gt;='Auswertung 3-Schicht'!H$3,$A20&lt;='Auswertung 3-Schicht'!H$4),Berechnung!K19,"")</f>
        <v/>
      </c>
      <c r="AB20" s="134" t="str">
        <f>IF(AND($A20&gt;='Auswertung 3-Schicht'!I$3,$A20&lt;='Auswertung 3-Schicht'!I$4),Berechnung!L19,"")</f>
        <v/>
      </c>
      <c r="AC20" s="118" t="str">
        <f>IF(AND($A20&gt;='Auswertung 3-Schicht'!J$3,$A20&lt;='Auswertung 3-Schicht'!J$4),Berechnung!P19,"")</f>
        <v/>
      </c>
      <c r="AD20" s="121" t="str">
        <f>IF(AND($A20&gt;='Auswertung 3-Schicht'!K$3,$A20&lt;='Auswertung 3-Schicht'!K$4),Berechnung!Q19,"")</f>
        <v/>
      </c>
      <c r="AE20" s="136">
        <f>IF(AND($A20&gt;='Auswertung 3-Schicht'!D$6,$A20&lt;='Auswertung 3-Schicht'!D$7),Berechnung!C19,"")</f>
        <v>34.978524959283966</v>
      </c>
      <c r="AF20" s="118" t="str">
        <f>IF(AND($A20&gt;='Auswertung 3-Schicht'!E$6,$A20&lt;='Auswertung 3-Schicht'!E$7),Berechnung!D19,"")</f>
        <v/>
      </c>
      <c r="AG20" s="118" t="str">
        <f>IF(AND($A20&gt;='Auswertung 3-Schicht'!F$6,$A20&lt;='Auswertung 3-Schicht'!F$7),Berechnung!E19,"")</f>
        <v/>
      </c>
      <c r="AH20" s="118">
        <f>IF(AND($A20&gt;='Auswertung 3-Schicht'!G$6,$A20&lt;='Auswertung 3-Schicht'!G$7),Berechnung!F19,"")</f>
        <v>62.878823448010159</v>
      </c>
      <c r="AI20" s="118" t="str">
        <f>IF(AND($A20&gt;='Auswertung 3-Schicht'!H$6,$A20&lt;='Auswertung 3-Schicht'!H$7),Berechnung!K19,"")</f>
        <v/>
      </c>
      <c r="AJ20" s="118" t="str">
        <f>IF(AND($A20&gt;='Auswertung 3-Schicht'!I$6,$A20&lt;='Auswertung 3-Schicht'!I$7),Berechnung!L19,"")</f>
        <v/>
      </c>
      <c r="AK20" s="118" t="str">
        <f>IF(AND($A20&gt;='Auswertung 3-Schicht'!J$6,$A20&lt;='Auswertung 3-Schicht'!J$7),Berechnung!P19,"")</f>
        <v/>
      </c>
      <c r="AL20" s="118" t="str">
        <f>IF(AND($A20&gt;='Auswertung 3-Schicht'!K$6,$A20&lt;='Auswertung 3-Schicht'!K$7),Berechnung!Q19,"")</f>
        <v/>
      </c>
      <c r="AM20" s="120" t="str">
        <f>IF(AND($A20&gt;='Auswertung 3-Schicht'!D$10,$A20&lt;='Auswertung 3-Schicht'!D$11),Berechnung!C19,"")</f>
        <v/>
      </c>
      <c r="AN20" s="118" t="str">
        <f>IF(AND($A20&gt;='Auswertung 3-Schicht'!E$10,$A20&lt;='Auswertung 3-Schicht'!E$11),Berechnung!D19,"")</f>
        <v/>
      </c>
      <c r="AO20" s="118">
        <f>IF(AND($A20&gt;='Auswertung 3-Schicht'!F$10,$A20&lt;='Auswertung 3-Schicht'!F$11),Berechnung!E19,"")</f>
        <v>80.062741528837947</v>
      </c>
      <c r="AP20" s="118" t="str">
        <f>IF(AND($A20&gt;='Auswertung 3-Schicht'!G$10,$A20&lt;='Auswertung 3-Schicht'!G$11),Berechnung!F19,"")</f>
        <v/>
      </c>
      <c r="AQ20" s="118" t="str">
        <f>IF(AND($A20&gt;='Auswertung 3-Schicht'!H$10,$A20&lt;='Auswertung 3-Schicht'!H$11),Berechnung!K19,"")</f>
        <v/>
      </c>
      <c r="AR20" s="118" t="str">
        <f>IF(AND($A20&gt;='Auswertung 3-Schicht'!I$10,$A20&lt;='Auswertung 3-Schicht'!I$11),Berechnung!L19,"")</f>
        <v/>
      </c>
      <c r="AS20" s="118" t="str">
        <f>IF(AND($A20&gt;='Auswertung 3-Schicht'!J$10,$A20&lt;='Auswertung 3-Schicht'!J$11),Berechnung!P19,"")</f>
        <v/>
      </c>
      <c r="AT20" s="118" t="str">
        <f>IF(AND($A20&gt;='Auswertung 3-Schicht'!K$10,$A20&lt;='Auswertung 3-Schicht'!K$11),Berechnung!Q19,"")</f>
        <v/>
      </c>
      <c r="AU20" s="82">
        <f t="shared" si="11"/>
        <v>-999</v>
      </c>
      <c r="AV20" s="42">
        <f t="shared" si="12"/>
        <v>-999</v>
      </c>
      <c r="AW20" s="79">
        <f t="shared" si="13"/>
        <v>-999</v>
      </c>
      <c r="AX20" s="79">
        <f t="shared" si="14"/>
        <v>-999</v>
      </c>
      <c r="AY20" s="79">
        <f t="shared" si="15"/>
        <v>-999</v>
      </c>
      <c r="AZ20" s="42">
        <f t="shared" si="16"/>
        <v>-999</v>
      </c>
      <c r="BA20" s="83">
        <f t="shared" si="17"/>
        <v>-999</v>
      </c>
      <c r="BB20" s="80">
        <f t="shared" si="18"/>
        <v>34.978524959283966</v>
      </c>
      <c r="BC20" s="42">
        <f t="shared" si="19"/>
        <v>-999</v>
      </c>
      <c r="BD20" s="42">
        <f t="shared" si="20"/>
        <v>62.878823448010159</v>
      </c>
      <c r="BE20" s="42">
        <f t="shared" si="21"/>
        <v>-999</v>
      </c>
      <c r="BF20" s="42">
        <f t="shared" si="22"/>
        <v>-999</v>
      </c>
      <c r="BG20" s="42">
        <f t="shared" si="23"/>
        <v>-999</v>
      </c>
      <c r="BH20" s="83">
        <f t="shared" si="24"/>
        <v>-999</v>
      </c>
      <c r="BI20" s="82">
        <f t="shared" si="25"/>
        <v>-999</v>
      </c>
      <c r="BJ20" s="42">
        <f t="shared" si="26"/>
        <v>80.062741528837947</v>
      </c>
      <c r="BK20" s="42">
        <f t="shared" si="27"/>
        <v>-999</v>
      </c>
      <c r="BL20" s="42">
        <f t="shared" si="28"/>
        <v>-999</v>
      </c>
      <c r="BM20" s="42">
        <f t="shared" si="29"/>
        <v>-999</v>
      </c>
      <c r="BN20" s="42">
        <f t="shared" si="30"/>
        <v>-999</v>
      </c>
      <c r="BO20" s="83">
        <f t="shared" si="31"/>
        <v>-999</v>
      </c>
      <c r="BP20" s="80">
        <f>IF('Auswertung 2-Schicht'!O$4="",-999,MIN(1000*SQRT((A20+1)^2+AVERAGE(T0_Korrektur!D$1,T0_Korrektur!F$1,T0_Korrektur!H$1)^2)/'Auswertung 2-Schicht'!$O$4,'Auswertung 2-Schicht'!$O$8+1000*SQRT((A20+1)^2+AVERAGE(T0_Korrektur!D$1,T0_Korrektur!F$1,T0_Korrektur!H$1)^2)/'Auswertung 2-Schicht'!$O$7))</f>
        <v>64.8567267795314</v>
      </c>
      <c r="BQ20" s="83">
        <f>IF('Auswertung 3-Schicht'!N$4="",-999,IF('Auswertung 3-Schicht'!N$8="",MIN(1000*SQRT((A20+1)^2+AVERAGE(T0_Korrektur!D$1,T0_Korrektur!F$1,T0_Korrektur!H$1)^2)/'Auswertung 3-Schicht'!N$4,'Auswertung 3-Schicht'!N$6+1000*SQRT((A20+1)^2+AVERAGE(T0_Korrektur!D$1,T0_Korrektur!F$1,T0_Korrektur!H$1)^2)/'Auswertung 3-Schicht'!N$5),MIN(1000*SQRT((A20+1)^2+AVERAGE(T0_Korrektur!D$1,T0_Korrektur!F$1,T0_Korrektur!H$1)^2)/'Auswertung 3-Schicht'!N$4,'Auswertung 3-Schicht'!N$6+1000*SQRT((A20+1)^2+AVERAGE(T0_Korrektur!D$1,T0_Korrektur!F$1,T0_Korrektur!H$1)^2)/'Auswertung 3-Schicht'!N$5,'Auswertung 3-Schicht'!N$9+1000*SQRT((A20+1)^2+AVERAGE(T0_Korrektur!D$1,T0_Korrektur!F$1,T0_Korrektur!H$1)^2)/'Auswertung 3-Schicht'!N$8)))</f>
        <v>60.138917328342629</v>
      </c>
      <c r="BR20" s="82">
        <f>ABS(T0_Korrektur!C19)</f>
        <v>26.304990020906679</v>
      </c>
      <c r="BS20" s="42">
        <f>ABS(T0_Korrektur!E19)</f>
        <v>125.01023958060395</v>
      </c>
      <c r="BT20" s="42">
        <f>ABS(T0_Korrektur!I19)</f>
        <v>999</v>
      </c>
      <c r="BU20" s="79">
        <f>ABS(T0_Korrektur!M19)</f>
        <v>999</v>
      </c>
      <c r="BV20" s="120">
        <f>IF(T0_Korrektur!H19="","",T0_Korrektur!H19-Hilfsdaten!BP20)</f>
        <v>-1.9585267795313968</v>
      </c>
      <c r="BW20" s="118">
        <f>IF(T0_Korrektur!D43="","",T0_Korrektur!D43-Hilfsdaten!BP20)</f>
        <v>-4.6564267795314009</v>
      </c>
      <c r="BX20" s="118">
        <f>IF(T0_Korrektur!D10="","",T0_Korrektur!D10-Hilfsdaten!BP20)</f>
        <v>-5.0248267795314021</v>
      </c>
      <c r="BY20" s="118">
        <f>IF(T0_Korrektur!F40="","",T0_Korrektur!F40-Hilfsdaten!BP20)</f>
        <v>-20.765426779531403</v>
      </c>
      <c r="BZ20" s="120">
        <f>IF(T0_Korrektur!H19="","",T0_Korrektur!H19-Hilfsdaten!BQ20)</f>
        <v>2.759282671657374</v>
      </c>
      <c r="CA20" s="118">
        <f>IF(T0_Korrektur!D43="","",T0_Korrektur!D43-Hilfsdaten!BQ20)</f>
        <v>6.1382671657369769E-2</v>
      </c>
      <c r="CB20" s="118">
        <f>IF(T0_Korrektur!D10="","",T0_Korrektur!D10-Hilfsdaten!BQ20)</f>
        <v>-0.3070173283426314</v>
      </c>
      <c r="CC20" s="121">
        <f>IF(T0_Korrektur!F40="","",T0_Korrektur!F40-Hilfsdaten!BQ20)</f>
        <v>-16.047617328342632</v>
      </c>
      <c r="CD20" s="115"/>
    </row>
    <row r="21" spans="1:82" x14ac:dyDescent="0.2">
      <c r="A21" s="130">
        <f>'Picks importieren'!B21</f>
        <v>75</v>
      </c>
      <c r="B21" s="120" t="str">
        <f>IF(AND($A21&gt;='Auswertung 2-Schicht'!C$3,$A21&lt;='Auswertung 2-Schicht'!C$4),Berechnung!C20,"")</f>
        <v/>
      </c>
      <c r="C21" s="118" t="str">
        <f>IF(AND($A21&gt;='Auswertung 2-Schicht'!D$3,$A21&lt;='Auswertung 2-Schicht'!D$4),Berechnung!D20,"")</f>
        <v/>
      </c>
      <c r="D21" s="118" t="str">
        <f>IF(AND($A21&gt;='Auswertung 2-Schicht'!E$3,$A21&lt;='Auswertung 2-Schicht'!E$4),Berechnung!G20,"")</f>
        <v/>
      </c>
      <c r="E21" s="121" t="str">
        <f>IF(AND($A21&gt;='Auswertung 2-Schicht'!F$3,$A21&lt;='Auswertung 2-Schicht'!F$4),Berechnung!F20,"")</f>
        <v/>
      </c>
      <c r="F21" s="131">
        <f>IF(AND($A21&gt;='Auswertung 2-Schicht'!H$3,$A21&lt;='Auswertung 2-Schicht'!H$4),IF('Auswertung 2-Schicht'!$H$8=1,Berechnung!I20,IF('Auswertung 2-Schicht'!$H$8=2,Berechnung!N20,Berechnung!S20)),"")</f>
        <v>81.802481002457498</v>
      </c>
      <c r="G21" s="118">
        <f>IF(AND($A21&gt;='Auswertung 2-Schicht'!H$3,$A21&lt;='Auswertung 2-Schicht'!H$4),IF('Auswertung 2-Schicht'!$H$8=1,Berechnung!J20,IF('Auswertung 2-Schicht'!$H$8=2,Berechnung!O20,Berechnung!T20)),"")</f>
        <v>42.954236296027545</v>
      </c>
      <c r="H21" s="118" t="str">
        <f>IF(AND($A21&gt;='Auswertung 2-Schicht'!I$3,$A21&lt;='Auswertung 2-Schicht'!I$4),Berechnung!K20,"")</f>
        <v/>
      </c>
      <c r="I21" s="132" t="str">
        <f>IF(AND($A21&gt;='Auswertung 2-Schicht'!J$3,$A21&lt;='Auswertung 2-Schicht'!J$4),Berechnung!L20,"")</f>
        <v/>
      </c>
      <c r="J21" s="118" t="str">
        <f>IF(AND($A21&gt;='Auswertung 2-Schicht'!K$3,$A21&lt;='Auswertung 2-Schicht'!K$4),Berechnung!P20,"")</f>
        <v/>
      </c>
      <c r="K21" s="134" t="str">
        <f>IF(AND($A21&gt;='Auswertung 2-Schicht'!L$3,$A21&lt;='Auswertung 2-Schicht'!L$4),Berechnung!Q20,"")</f>
        <v/>
      </c>
      <c r="L21" s="131">
        <f>IF('Auswertung 2-Schicht'!$H$8=1,Berechnung!I20,IF('Auswertung 2-Schicht'!$H$8=2,Berechnung!N20,Berechnung!S20))</f>
        <v>81.802481002457498</v>
      </c>
      <c r="M21" s="133">
        <f>IF('Auswertung 2-Schicht'!$H$8=1,Berechnung!J20,IF('Auswertung 2-Schicht'!$H$8=2,Berechnung!O20,Berechnung!T20))</f>
        <v>42.954236296027545</v>
      </c>
      <c r="N21" s="82">
        <f t="shared" si="4"/>
        <v>-999</v>
      </c>
      <c r="O21" s="42">
        <f t="shared" si="32"/>
        <v>-999</v>
      </c>
      <c r="P21" s="83">
        <f t="shared" si="33"/>
        <v>-999</v>
      </c>
      <c r="Q21" s="82">
        <f t="shared" si="5"/>
        <v>81.802481002457498</v>
      </c>
      <c r="R21" s="42">
        <f t="shared" si="6"/>
        <v>42.954236296027545</v>
      </c>
      <c r="S21" s="42">
        <f t="shared" si="7"/>
        <v>-999</v>
      </c>
      <c r="T21" s="42">
        <f t="shared" si="8"/>
        <v>-999</v>
      </c>
      <c r="U21" s="42">
        <f t="shared" si="9"/>
        <v>-999</v>
      </c>
      <c r="V21" s="109">
        <f t="shared" si="10"/>
        <v>-999</v>
      </c>
      <c r="W21" s="120" t="str">
        <f>IF(AND($A21&gt;='Auswertung 3-Schicht'!D$3,$A21&lt;='Auswertung 3-Schicht'!D$4),Berechnung!C20,"")</f>
        <v/>
      </c>
      <c r="X21" s="118" t="str">
        <f>IF(AND($A21&gt;='Auswertung 3-Schicht'!E$3,$A21&lt;='Auswertung 3-Schicht'!E$4),Berechnung!D20,"")</f>
        <v/>
      </c>
      <c r="Y21" s="118" t="str">
        <f>IF(AND($A21&gt;='Auswertung 3-Schicht'!F$3,$A21&lt;='Auswertung 3-Schicht'!F$4),Berechnung!E20,"")</f>
        <v/>
      </c>
      <c r="Z21" s="132" t="str">
        <f>IF(AND($A21&gt;='Auswertung 3-Schicht'!G$3,$A21&lt;='Auswertung 3-Schicht'!G$4),Berechnung!F20,"")</f>
        <v/>
      </c>
      <c r="AA21" s="118" t="str">
        <f>IF(AND($A21&gt;='Auswertung 3-Schicht'!H$3,$A21&lt;='Auswertung 3-Schicht'!H$4),Berechnung!K20,"")</f>
        <v/>
      </c>
      <c r="AB21" s="134" t="str">
        <f>IF(AND($A21&gt;='Auswertung 3-Schicht'!I$3,$A21&lt;='Auswertung 3-Schicht'!I$4),Berechnung!L20,"")</f>
        <v/>
      </c>
      <c r="AC21" s="118" t="str">
        <f>IF(AND($A21&gt;='Auswertung 3-Schicht'!J$3,$A21&lt;='Auswertung 3-Schicht'!J$4),Berechnung!P20,"")</f>
        <v/>
      </c>
      <c r="AD21" s="121" t="str">
        <f>IF(AND($A21&gt;='Auswertung 3-Schicht'!K$3,$A21&lt;='Auswertung 3-Schicht'!K$4),Berechnung!Q20,"")</f>
        <v/>
      </c>
      <c r="AE21" s="136">
        <f>IF(AND($A21&gt;='Auswertung 3-Schicht'!D$6,$A21&lt;='Auswertung 3-Schicht'!D$7),Berechnung!C20,"")</f>
        <v>31.929089868318474</v>
      </c>
      <c r="AF21" s="118" t="str">
        <f>IF(AND($A21&gt;='Auswertung 3-Schicht'!E$6,$A21&lt;='Auswertung 3-Schicht'!E$7),Berechnung!D20,"")</f>
        <v/>
      </c>
      <c r="AG21" s="118" t="str">
        <f>IF(AND($A21&gt;='Auswertung 3-Schicht'!F$6,$A21&lt;='Auswertung 3-Schicht'!F$7),Berechnung!E20,"")</f>
        <v/>
      </c>
      <c r="AH21" s="118">
        <f>IF(AND($A21&gt;='Auswertung 3-Schicht'!G$6,$A21&lt;='Auswertung 3-Schicht'!G$7),Berechnung!F20,"")</f>
        <v>65.731873252372253</v>
      </c>
      <c r="AI21" s="118" t="str">
        <f>IF(AND($A21&gt;='Auswertung 3-Schicht'!H$6,$A21&lt;='Auswertung 3-Schicht'!H$7),Berechnung!K20,"")</f>
        <v/>
      </c>
      <c r="AJ21" s="118" t="str">
        <f>IF(AND($A21&gt;='Auswertung 3-Schicht'!I$6,$A21&lt;='Auswertung 3-Schicht'!I$7),Berechnung!L20,"")</f>
        <v/>
      </c>
      <c r="AK21" s="118" t="str">
        <f>IF(AND($A21&gt;='Auswertung 3-Schicht'!J$6,$A21&lt;='Auswertung 3-Schicht'!J$7),Berechnung!P20,"")</f>
        <v/>
      </c>
      <c r="AL21" s="118" t="str">
        <f>IF(AND($A21&gt;='Auswertung 3-Schicht'!K$6,$A21&lt;='Auswertung 3-Schicht'!K$7),Berechnung!Q20,"")</f>
        <v/>
      </c>
      <c r="AM21" s="120" t="str">
        <f>IF(AND($A21&gt;='Auswertung 3-Schicht'!D$10,$A21&lt;='Auswertung 3-Schicht'!D$11),Berechnung!C20,"")</f>
        <v/>
      </c>
      <c r="AN21" s="118" t="str">
        <f>IF(AND($A21&gt;='Auswertung 3-Schicht'!E$10,$A21&lt;='Auswertung 3-Schicht'!E$11),Berechnung!D20,"")</f>
        <v/>
      </c>
      <c r="AO21" s="118">
        <f>IF(AND($A21&gt;='Auswertung 3-Schicht'!F$10,$A21&lt;='Auswertung 3-Schicht'!F$11),Berechnung!E20,"")</f>
        <v>78.426929027227033</v>
      </c>
      <c r="AP21" s="118" t="str">
        <f>IF(AND($A21&gt;='Auswertung 3-Schicht'!G$10,$A21&lt;='Auswertung 3-Schicht'!G$11),Berechnung!F20,"")</f>
        <v/>
      </c>
      <c r="AQ21" s="118" t="str">
        <f>IF(AND($A21&gt;='Auswertung 3-Schicht'!H$10,$A21&lt;='Auswertung 3-Schicht'!H$11),Berechnung!K20,"")</f>
        <v/>
      </c>
      <c r="AR21" s="118" t="str">
        <f>IF(AND($A21&gt;='Auswertung 3-Schicht'!I$10,$A21&lt;='Auswertung 3-Schicht'!I$11),Berechnung!L20,"")</f>
        <v/>
      </c>
      <c r="AS21" s="118" t="str">
        <f>IF(AND($A21&gt;='Auswertung 3-Schicht'!J$10,$A21&lt;='Auswertung 3-Schicht'!J$11),Berechnung!P20,"")</f>
        <v/>
      </c>
      <c r="AT21" s="118" t="str">
        <f>IF(AND($A21&gt;='Auswertung 3-Schicht'!K$10,$A21&lt;='Auswertung 3-Schicht'!K$11),Berechnung!Q20,"")</f>
        <v/>
      </c>
      <c r="AU21" s="82">
        <f t="shared" si="11"/>
        <v>-999</v>
      </c>
      <c r="AV21" s="42">
        <f t="shared" si="12"/>
        <v>-999</v>
      </c>
      <c r="AW21" s="79">
        <f t="shared" si="13"/>
        <v>-999</v>
      </c>
      <c r="AX21" s="79">
        <f t="shared" si="14"/>
        <v>-999</v>
      </c>
      <c r="AY21" s="79">
        <f t="shared" si="15"/>
        <v>-999</v>
      </c>
      <c r="AZ21" s="42">
        <f t="shared" si="16"/>
        <v>-999</v>
      </c>
      <c r="BA21" s="83">
        <f t="shared" si="17"/>
        <v>-999</v>
      </c>
      <c r="BB21" s="80">
        <f t="shared" si="18"/>
        <v>31.929089868318474</v>
      </c>
      <c r="BC21" s="42">
        <f t="shared" si="19"/>
        <v>-999</v>
      </c>
      <c r="BD21" s="42">
        <f t="shared" si="20"/>
        <v>65.731873252372253</v>
      </c>
      <c r="BE21" s="42">
        <f t="shared" si="21"/>
        <v>-999</v>
      </c>
      <c r="BF21" s="42">
        <f t="shared" si="22"/>
        <v>-999</v>
      </c>
      <c r="BG21" s="42">
        <f t="shared" si="23"/>
        <v>-999</v>
      </c>
      <c r="BH21" s="83">
        <f t="shared" si="24"/>
        <v>-999</v>
      </c>
      <c r="BI21" s="82">
        <f t="shared" si="25"/>
        <v>-999</v>
      </c>
      <c r="BJ21" s="42">
        <f t="shared" si="26"/>
        <v>78.426929027227033</v>
      </c>
      <c r="BK21" s="42">
        <f t="shared" si="27"/>
        <v>-999</v>
      </c>
      <c r="BL21" s="42">
        <f t="shared" si="28"/>
        <v>-999</v>
      </c>
      <c r="BM21" s="42">
        <f t="shared" si="29"/>
        <v>-999</v>
      </c>
      <c r="BN21" s="42">
        <f t="shared" si="30"/>
        <v>-999</v>
      </c>
      <c r="BO21" s="83">
        <f t="shared" si="31"/>
        <v>-999</v>
      </c>
      <c r="BP21" s="80">
        <f>IF('Auswertung 2-Schicht'!O$4="",-999,MIN(1000*SQRT((A21+1)^2+AVERAGE(T0_Korrektur!D$1,T0_Korrektur!F$1,T0_Korrektur!H$1)^2)/'Auswertung 2-Schicht'!$O$4,'Auswertung 2-Schicht'!$O$8+1000*SQRT((A21+1)^2+AVERAGE(T0_Korrektur!D$1,T0_Korrektur!F$1,T0_Korrektur!H$1)^2)/'Auswertung 2-Schicht'!$O$7))</f>
        <v>66.809269547993409</v>
      </c>
      <c r="BQ21" s="83">
        <f>IF('Auswertung 3-Schicht'!N$4="",-999,IF('Auswertung 3-Schicht'!N$8="",MIN(1000*SQRT((A21+1)^2+AVERAGE(T0_Korrektur!D$1,T0_Korrektur!F$1,T0_Korrektur!H$1)^2)/'Auswertung 3-Schicht'!N$4,'Auswertung 3-Schicht'!N$6+1000*SQRT((A21+1)^2+AVERAGE(T0_Korrektur!D$1,T0_Korrektur!F$1,T0_Korrektur!H$1)^2)/'Auswertung 3-Schicht'!N$5),MIN(1000*SQRT((A21+1)^2+AVERAGE(T0_Korrektur!D$1,T0_Korrektur!F$1,T0_Korrektur!H$1)^2)/'Auswertung 3-Schicht'!N$4,'Auswertung 3-Schicht'!N$6+1000*SQRT((A21+1)^2+AVERAGE(T0_Korrektur!D$1,T0_Korrektur!F$1,T0_Korrektur!H$1)^2)/'Auswertung 3-Schicht'!N$5,'Auswertung 3-Schicht'!N$9+1000*SQRT((A21+1)^2+AVERAGE(T0_Korrektur!D$1,T0_Korrektur!F$1,T0_Korrektur!H$1)^2)/'Auswertung 3-Schicht'!N$8)))</f>
        <v>62.854942895548163</v>
      </c>
      <c r="BR21" s="82">
        <f>ABS(T0_Korrektur!C20)</f>
        <v>21.31789154677357</v>
      </c>
      <c r="BS21" s="42">
        <f>ABS(T0_Korrektur!E20)</f>
        <v>120.01066619263473</v>
      </c>
      <c r="BT21" s="42">
        <f>ABS(T0_Korrektur!I20)</f>
        <v>999</v>
      </c>
      <c r="BU21" s="79">
        <f>ABS(T0_Korrektur!M20)</f>
        <v>999</v>
      </c>
      <c r="BV21" s="120">
        <f>IF(T0_Korrektur!H20="","",T0_Korrektur!H20-Hilfsdaten!BP21)</f>
        <v>-1.0596695479934084</v>
      </c>
      <c r="BW21" s="118">
        <f>IF(T0_Korrektur!D44="","",T0_Korrektur!D44-Hilfsdaten!BP21)</f>
        <v>-4.0745695479934128</v>
      </c>
      <c r="BX21" s="118">
        <f>IF(T0_Korrektur!D9="","",T0_Korrektur!D9-Hilfsdaten!BP21)</f>
        <v>-4.9331695479934083</v>
      </c>
      <c r="BY21" s="118">
        <f>IF(T0_Korrektur!F39="","",T0_Korrektur!F39-Hilfsdaten!BP21)</f>
        <v>-19.651269547993408</v>
      </c>
      <c r="BZ21" s="120">
        <f>IF(T0_Korrektur!H20="","",T0_Korrektur!H20-Hilfsdaten!BQ21)</f>
        <v>2.8946571044518379</v>
      </c>
      <c r="CA21" s="118">
        <f>IF(T0_Korrektur!D44="","",T0_Korrektur!D44-Hilfsdaten!BQ21)</f>
        <v>-0.12024289554816647</v>
      </c>
      <c r="CB21" s="118">
        <f>IF(T0_Korrektur!D9="","",T0_Korrektur!D9-Hilfsdaten!BQ21)</f>
        <v>-0.97884289554816206</v>
      </c>
      <c r="CC21" s="121">
        <f>IF(T0_Korrektur!F39="","",T0_Korrektur!F39-Hilfsdaten!BQ21)</f>
        <v>-15.696942895548162</v>
      </c>
      <c r="CD21" s="115"/>
    </row>
    <row r="22" spans="1:82" x14ac:dyDescent="0.2">
      <c r="A22" s="130">
        <f>'Picks importieren'!B22</f>
        <v>80</v>
      </c>
      <c r="B22" s="120">
        <f>IF(AND($A22&gt;='Auswertung 2-Schicht'!C$3,$A22&lt;='Auswertung 2-Schicht'!C$4),Berechnung!C21,"")</f>
        <v>28.604297814258164</v>
      </c>
      <c r="C22" s="118" t="str">
        <f>IF(AND($A22&gt;='Auswertung 2-Schicht'!D$3,$A22&lt;='Auswertung 2-Schicht'!D$4),Berechnung!D21,"")</f>
        <v/>
      </c>
      <c r="D22" s="118" t="str">
        <f>IF(AND($A22&gt;='Auswertung 2-Schicht'!E$3,$A22&lt;='Auswertung 2-Schicht'!E$4),Berechnung!G21,"")</f>
        <v/>
      </c>
      <c r="E22" s="121" t="str">
        <f>IF(AND($A22&gt;='Auswertung 2-Schicht'!F$3,$A22&lt;='Auswertung 2-Schicht'!F$4),Berechnung!F21,"")</f>
        <v/>
      </c>
      <c r="F22" s="131">
        <f>IF(AND($A22&gt;='Auswertung 2-Schicht'!H$3,$A22&lt;='Auswertung 2-Schicht'!H$4),IF('Auswertung 2-Schicht'!$H$8=1,Berechnung!I21,IF('Auswertung 2-Schicht'!$H$8=2,Berechnung!N21,Berechnung!S21)),"")</f>
        <v>85.08573326323237</v>
      </c>
      <c r="G22" s="118">
        <f>IF(AND($A22&gt;='Auswertung 2-Schicht'!H$3,$A22&lt;='Auswertung 2-Schicht'!H$4),IF('Auswertung 2-Schicht'!$H$8=1,Berechnung!J21,IF('Auswertung 2-Schicht'!$H$8=2,Berechnung!O21,Berechnung!T21)),"")</f>
        <v>42.965966541845063</v>
      </c>
      <c r="H22" s="118" t="str">
        <f>IF(AND($A22&gt;='Auswertung 2-Schicht'!I$3,$A22&lt;='Auswertung 2-Schicht'!I$4),Berechnung!K21,"")</f>
        <v/>
      </c>
      <c r="I22" s="132" t="str">
        <f>IF(AND($A22&gt;='Auswertung 2-Schicht'!J$3,$A22&lt;='Auswertung 2-Schicht'!J$4),Berechnung!L21,"")</f>
        <v/>
      </c>
      <c r="J22" s="118" t="str">
        <f>IF(AND($A22&gt;='Auswertung 2-Schicht'!K$3,$A22&lt;='Auswertung 2-Schicht'!K$4),Berechnung!P21,"")</f>
        <v/>
      </c>
      <c r="K22" s="134" t="str">
        <f>IF(AND($A22&gt;='Auswertung 2-Schicht'!L$3,$A22&lt;='Auswertung 2-Schicht'!L$4),Berechnung!Q21,"")</f>
        <v/>
      </c>
      <c r="L22" s="131">
        <f>IF('Auswertung 2-Schicht'!$H$8=1,Berechnung!I21,IF('Auswertung 2-Schicht'!$H$8=2,Berechnung!N21,Berechnung!S21))</f>
        <v>85.08573326323237</v>
      </c>
      <c r="M22" s="133">
        <f>IF('Auswertung 2-Schicht'!$H$8=1,Berechnung!J21,IF('Auswertung 2-Schicht'!$H$8=2,Berechnung!O21,Berechnung!T21))</f>
        <v>42.965966541845063</v>
      </c>
      <c r="N22" s="82">
        <f t="shared" si="4"/>
        <v>28.604297814258164</v>
      </c>
      <c r="O22" s="42">
        <f t="shared" si="32"/>
        <v>-999</v>
      </c>
      <c r="P22" s="83">
        <f t="shared" si="33"/>
        <v>-999</v>
      </c>
      <c r="Q22" s="82">
        <f t="shared" si="5"/>
        <v>85.08573326323237</v>
      </c>
      <c r="R22" s="42">
        <f t="shared" si="6"/>
        <v>42.965966541845063</v>
      </c>
      <c r="S22" s="42">
        <f t="shared" si="7"/>
        <v>-999</v>
      </c>
      <c r="T22" s="42">
        <f t="shared" si="8"/>
        <v>-999</v>
      </c>
      <c r="U22" s="42">
        <f t="shared" si="9"/>
        <v>-999</v>
      </c>
      <c r="V22" s="109">
        <f t="shared" si="10"/>
        <v>-999</v>
      </c>
      <c r="W22" s="120">
        <f>IF(AND($A22&gt;='Auswertung 3-Schicht'!D$3,$A22&lt;='Auswertung 3-Schicht'!D$4),Berechnung!C21,"")</f>
        <v>28.604297814258164</v>
      </c>
      <c r="X22" s="118" t="str">
        <f>IF(AND($A22&gt;='Auswertung 3-Schicht'!E$3,$A22&lt;='Auswertung 3-Schicht'!E$4),Berechnung!D21,"")</f>
        <v/>
      </c>
      <c r="Y22" s="118" t="str">
        <f>IF(AND($A22&gt;='Auswertung 3-Schicht'!F$3,$A22&lt;='Auswertung 3-Schicht'!F$4),Berechnung!E21,"")</f>
        <v/>
      </c>
      <c r="Z22" s="132" t="str">
        <f>IF(AND($A22&gt;='Auswertung 3-Schicht'!G$3,$A22&lt;='Auswertung 3-Schicht'!G$4),Berechnung!F21,"")</f>
        <v/>
      </c>
      <c r="AA22" s="118" t="str">
        <f>IF(AND($A22&gt;='Auswertung 3-Schicht'!H$3,$A22&lt;='Auswertung 3-Schicht'!H$4),Berechnung!K21,"")</f>
        <v/>
      </c>
      <c r="AB22" s="134" t="str">
        <f>IF(AND($A22&gt;='Auswertung 3-Schicht'!I$3,$A22&lt;='Auswertung 3-Schicht'!I$4),Berechnung!L21,"")</f>
        <v/>
      </c>
      <c r="AC22" s="118" t="str">
        <f>IF(AND($A22&gt;='Auswertung 3-Schicht'!J$3,$A22&lt;='Auswertung 3-Schicht'!J$4),Berechnung!P21,"")</f>
        <v/>
      </c>
      <c r="AD22" s="121" t="str">
        <f>IF(AND($A22&gt;='Auswertung 3-Schicht'!K$3,$A22&lt;='Auswertung 3-Schicht'!K$4),Berechnung!Q21,"")</f>
        <v/>
      </c>
      <c r="AE22" s="136">
        <f>IF(AND($A22&gt;='Auswertung 3-Schicht'!D$6,$A22&lt;='Auswertung 3-Schicht'!D$7),Berechnung!C21,"")</f>
        <v>28.604297814258164</v>
      </c>
      <c r="AF22" s="118" t="str">
        <f>IF(AND($A22&gt;='Auswertung 3-Schicht'!E$6,$A22&lt;='Auswertung 3-Schicht'!E$7),Berechnung!D21,"")</f>
        <v/>
      </c>
      <c r="AG22" s="118" t="str">
        <f>IF(AND($A22&gt;='Auswertung 3-Schicht'!F$6,$A22&lt;='Auswertung 3-Schicht'!F$7),Berechnung!E21,"")</f>
        <v/>
      </c>
      <c r="AH22" s="118" t="str">
        <f>IF(AND($A22&gt;='Auswertung 3-Schicht'!G$6,$A22&lt;='Auswertung 3-Schicht'!G$7),Berechnung!F21,"")</f>
        <v/>
      </c>
      <c r="AI22" s="118" t="str">
        <f>IF(AND($A22&gt;='Auswertung 3-Schicht'!H$6,$A22&lt;='Auswertung 3-Schicht'!H$7),Berechnung!K21,"")</f>
        <v/>
      </c>
      <c r="AJ22" s="118" t="str">
        <f>IF(AND($A22&gt;='Auswertung 3-Schicht'!I$6,$A22&lt;='Auswertung 3-Schicht'!I$7),Berechnung!L21,"")</f>
        <v/>
      </c>
      <c r="AK22" s="118" t="str">
        <f>IF(AND($A22&gt;='Auswertung 3-Schicht'!J$6,$A22&lt;='Auswertung 3-Schicht'!J$7),Berechnung!P21,"")</f>
        <v/>
      </c>
      <c r="AL22" s="118" t="str">
        <f>IF(AND($A22&gt;='Auswertung 3-Schicht'!K$6,$A22&lt;='Auswertung 3-Schicht'!K$7),Berechnung!Q21,"")</f>
        <v/>
      </c>
      <c r="AM22" s="120" t="str">
        <f>IF(AND($A22&gt;='Auswertung 3-Schicht'!D$10,$A22&lt;='Auswertung 3-Schicht'!D$11),Berechnung!C21,"")</f>
        <v/>
      </c>
      <c r="AN22" s="118" t="str">
        <f>IF(AND($A22&gt;='Auswertung 3-Schicht'!E$10,$A22&lt;='Auswertung 3-Schicht'!E$11),Berechnung!D21,"")</f>
        <v/>
      </c>
      <c r="AO22" s="118">
        <f>IF(AND($A22&gt;='Auswertung 3-Schicht'!F$10,$A22&lt;='Auswertung 3-Schicht'!F$11),Berechnung!E21,"")</f>
        <v>76.791168019748355</v>
      </c>
      <c r="AP22" s="118">
        <f>IF(AND($A22&gt;='Auswertung 3-Schicht'!G$10,$A22&lt;='Auswertung 3-Schicht'!G$11),Berechnung!F21,"")</f>
        <v>67.379364505668448</v>
      </c>
      <c r="AQ22" s="118" t="str">
        <f>IF(AND($A22&gt;='Auswertung 3-Schicht'!H$10,$A22&lt;='Auswertung 3-Schicht'!H$11),Berechnung!K21,"")</f>
        <v/>
      </c>
      <c r="AR22" s="118" t="str">
        <f>IF(AND($A22&gt;='Auswertung 3-Schicht'!I$10,$A22&lt;='Auswertung 3-Schicht'!I$11),Berechnung!L21,"")</f>
        <v/>
      </c>
      <c r="AS22" s="118" t="str">
        <f>IF(AND($A22&gt;='Auswertung 3-Schicht'!J$10,$A22&lt;='Auswertung 3-Schicht'!J$11),Berechnung!P21,"")</f>
        <v/>
      </c>
      <c r="AT22" s="118" t="str">
        <f>IF(AND($A22&gt;='Auswertung 3-Schicht'!K$10,$A22&lt;='Auswertung 3-Schicht'!K$11),Berechnung!Q21,"")</f>
        <v/>
      </c>
      <c r="AU22" s="82">
        <f t="shared" si="11"/>
        <v>28.604297814258164</v>
      </c>
      <c r="AV22" s="42">
        <f t="shared" si="12"/>
        <v>-999</v>
      </c>
      <c r="AW22" s="79">
        <f t="shared" si="13"/>
        <v>-999</v>
      </c>
      <c r="AX22" s="79">
        <f t="shared" si="14"/>
        <v>-999</v>
      </c>
      <c r="AY22" s="79">
        <f t="shared" si="15"/>
        <v>-999</v>
      </c>
      <c r="AZ22" s="42">
        <f t="shared" si="16"/>
        <v>-999</v>
      </c>
      <c r="BA22" s="83">
        <f t="shared" si="17"/>
        <v>-999</v>
      </c>
      <c r="BB22" s="80">
        <f t="shared" si="18"/>
        <v>28.604297814258164</v>
      </c>
      <c r="BC22" s="42">
        <f t="shared" si="19"/>
        <v>-999</v>
      </c>
      <c r="BD22" s="42">
        <f t="shared" si="20"/>
        <v>-999</v>
      </c>
      <c r="BE22" s="42">
        <f t="shared" si="21"/>
        <v>-999</v>
      </c>
      <c r="BF22" s="42">
        <f t="shared" si="22"/>
        <v>-999</v>
      </c>
      <c r="BG22" s="42">
        <f t="shared" si="23"/>
        <v>-999</v>
      </c>
      <c r="BH22" s="83">
        <f t="shared" si="24"/>
        <v>-999</v>
      </c>
      <c r="BI22" s="82">
        <f t="shared" si="25"/>
        <v>-999</v>
      </c>
      <c r="BJ22" s="42">
        <f t="shared" si="26"/>
        <v>76.791168019748355</v>
      </c>
      <c r="BK22" s="42">
        <f t="shared" si="27"/>
        <v>67.379364505668448</v>
      </c>
      <c r="BL22" s="42">
        <f t="shared" si="28"/>
        <v>-999</v>
      </c>
      <c r="BM22" s="42">
        <f t="shared" si="29"/>
        <v>-999</v>
      </c>
      <c r="BN22" s="42">
        <f t="shared" si="30"/>
        <v>-999</v>
      </c>
      <c r="BO22" s="83">
        <f t="shared" si="31"/>
        <v>-999</v>
      </c>
      <c r="BP22" s="80">
        <f>IF('Auswertung 2-Schicht'!O$4="",-999,MIN(1000*SQRT((A22+1)^2+AVERAGE(T0_Korrektur!D$1,T0_Korrektur!F$1,T0_Korrektur!H$1)^2)/'Auswertung 2-Schicht'!$O$4,'Auswertung 2-Schicht'!$O$8+1000*SQRT((A22+1)^2+AVERAGE(T0_Korrektur!D$1,T0_Korrektur!F$1,T0_Korrektur!H$1)^2)/'Auswertung 2-Schicht'!$O$7))</f>
        <v>68.761876837251748</v>
      </c>
      <c r="BQ22" s="83">
        <f>IF('Auswertung 3-Schicht'!N$4="",-999,IF('Auswertung 3-Schicht'!N$8="",MIN(1000*SQRT((A22+1)^2+AVERAGE(T0_Korrektur!D$1,T0_Korrektur!F$1,T0_Korrektur!H$1)^2)/'Auswertung 3-Schicht'!N$4,'Auswertung 3-Schicht'!N$6+1000*SQRT((A22+1)^2+AVERAGE(T0_Korrektur!D$1,T0_Korrektur!F$1,T0_Korrektur!H$1)^2)/'Auswertung 3-Schicht'!N$5),MIN(1000*SQRT((A22+1)^2+AVERAGE(T0_Korrektur!D$1,T0_Korrektur!F$1,T0_Korrektur!H$1)^2)/'Auswertung 3-Schicht'!N$4,'Auswertung 3-Schicht'!N$6+1000*SQRT((A22+1)^2+AVERAGE(T0_Korrektur!D$1,T0_Korrektur!F$1,T0_Korrektur!H$1)^2)/'Auswertung 3-Schicht'!N$5,'Auswertung 3-Schicht'!N$9+1000*SQRT((A22+1)^2+AVERAGE(T0_Korrektur!D$1,T0_Korrektur!F$1,T0_Korrektur!H$1)^2)/'Auswertung 3-Schicht'!N$8)))</f>
        <v>65.571058212456123</v>
      </c>
      <c r="BR22" s="82">
        <f>ABS(T0_Korrektur!C21)</f>
        <v>16.338681097322389</v>
      </c>
      <c r="BS22" s="42">
        <f>ABS(T0_Korrektur!E21)</f>
        <v>115.01112989619743</v>
      </c>
      <c r="BT22" s="42">
        <f>ABS(T0_Korrektur!I21)</f>
        <v>999</v>
      </c>
      <c r="BU22" s="79">
        <f>ABS(T0_Korrektur!M21)</f>
        <v>999</v>
      </c>
      <c r="BV22" s="120">
        <f>IF(T0_Korrektur!H21="","",T0_Korrektur!H21-Hilfsdaten!BP22)</f>
        <v>-1.3664768372517528</v>
      </c>
      <c r="BW22" s="118">
        <f>IF(T0_Korrektur!D45="","",T0_Korrektur!D45-Hilfsdaten!BP22)</f>
        <v>-2.6479768372517469</v>
      </c>
      <c r="BX22" s="118">
        <f>IF(T0_Korrektur!D8="","",T0_Korrektur!D8-Hilfsdaten!BP22)</f>
        <v>-5.0460768372517464</v>
      </c>
      <c r="BY22" s="118">
        <f>IF(T0_Korrektur!F38="","",T0_Korrektur!F38-Hilfsdaten!BP22)</f>
        <v>-18.333176837251749</v>
      </c>
      <c r="BZ22" s="120">
        <f>IF(T0_Korrektur!H21="","",T0_Korrektur!H21-Hilfsdaten!BQ22)</f>
        <v>1.8243417875438723</v>
      </c>
      <c r="CA22" s="118">
        <f>IF(T0_Korrektur!D45="","",T0_Korrektur!D45-Hilfsdaten!BQ22)</f>
        <v>0.54284178754387824</v>
      </c>
      <c r="CB22" s="118">
        <f>IF(T0_Korrektur!D8="","",T0_Korrektur!D8-Hilfsdaten!BQ22)</f>
        <v>-1.8552582124561212</v>
      </c>
      <c r="CC22" s="121">
        <f>IF(T0_Korrektur!F38="","",T0_Korrektur!F38-Hilfsdaten!BQ22)</f>
        <v>-15.142358212456124</v>
      </c>
      <c r="CD22" s="115"/>
    </row>
    <row r="23" spans="1:82" x14ac:dyDescent="0.2">
      <c r="A23" s="130">
        <f>'Picks importieren'!B23</f>
        <v>85</v>
      </c>
      <c r="B23" s="120">
        <f>IF(AND($A23&gt;='Auswertung 2-Schicht'!C$3,$A23&lt;='Auswertung 2-Schicht'!C$4),Berechnung!C22,"")</f>
        <v>22.120667590039286</v>
      </c>
      <c r="C23" s="118" t="str">
        <f>IF(AND($A23&gt;='Auswertung 2-Schicht'!D$3,$A23&lt;='Auswertung 2-Schicht'!D$4),Berechnung!D22,"")</f>
        <v/>
      </c>
      <c r="D23" s="118" t="str">
        <f>IF(AND($A23&gt;='Auswertung 2-Schicht'!E$3,$A23&lt;='Auswertung 2-Schicht'!E$4),Berechnung!G22,"")</f>
        <v/>
      </c>
      <c r="E23" s="121" t="str">
        <f>IF(AND($A23&gt;='Auswertung 2-Schicht'!F$3,$A23&lt;='Auswertung 2-Schicht'!F$4),Berechnung!F22,"")</f>
        <v/>
      </c>
      <c r="F23" s="131">
        <f>IF(AND($A23&gt;='Auswertung 2-Schicht'!H$3,$A23&lt;='Auswertung 2-Schicht'!H$4),IF('Auswertung 2-Schicht'!$H$8=1,Berechnung!I22,IF('Auswertung 2-Schicht'!$H$8=2,Berechnung!N22,Berechnung!S22)),"")</f>
        <v>87.949528214602083</v>
      </c>
      <c r="G23" s="118">
        <f>IF(AND($A23&gt;='Auswertung 2-Schicht'!H$3,$A23&lt;='Auswertung 2-Schicht'!H$4),IF('Auswertung 2-Schicht'!$H$8=1,Berechnung!J22,IF('Auswertung 2-Schicht'!$H$8=2,Berechnung!O22,Berechnung!T22)),"")</f>
        <v>43.375639182404029</v>
      </c>
      <c r="H23" s="118" t="str">
        <f>IF(AND($A23&gt;='Auswertung 2-Schicht'!I$3,$A23&lt;='Auswertung 2-Schicht'!I$4),Berechnung!K22,"")</f>
        <v/>
      </c>
      <c r="I23" s="132" t="str">
        <f>IF(AND($A23&gt;='Auswertung 2-Schicht'!J$3,$A23&lt;='Auswertung 2-Schicht'!J$4),Berechnung!L22,"")</f>
        <v/>
      </c>
      <c r="J23" s="118" t="str">
        <f>IF(AND($A23&gt;='Auswertung 2-Schicht'!K$3,$A23&lt;='Auswertung 2-Schicht'!K$4),Berechnung!P22,"")</f>
        <v/>
      </c>
      <c r="K23" s="134" t="str">
        <f>IF(AND($A23&gt;='Auswertung 2-Schicht'!L$3,$A23&lt;='Auswertung 2-Schicht'!L$4),Berechnung!Q22,"")</f>
        <v/>
      </c>
      <c r="L23" s="131">
        <f>IF('Auswertung 2-Schicht'!$H$8=1,Berechnung!I22,IF('Auswertung 2-Schicht'!$H$8=2,Berechnung!N22,Berechnung!S22))</f>
        <v>87.949528214602083</v>
      </c>
      <c r="M23" s="133">
        <f>IF('Auswertung 2-Schicht'!$H$8=1,Berechnung!J22,IF('Auswertung 2-Schicht'!$H$8=2,Berechnung!O22,Berechnung!T22))</f>
        <v>43.375639182404029</v>
      </c>
      <c r="N23" s="82">
        <f t="shared" si="4"/>
        <v>22.120667590039286</v>
      </c>
      <c r="O23" s="42">
        <f t="shared" si="32"/>
        <v>-999</v>
      </c>
      <c r="P23" s="83">
        <f t="shared" si="33"/>
        <v>-999</v>
      </c>
      <c r="Q23" s="82">
        <f t="shared" si="5"/>
        <v>87.949528214602083</v>
      </c>
      <c r="R23" s="42">
        <f t="shared" si="6"/>
        <v>43.375639182404029</v>
      </c>
      <c r="S23" s="42">
        <f t="shared" si="7"/>
        <v>-999</v>
      </c>
      <c r="T23" s="42">
        <f t="shared" si="8"/>
        <v>-999</v>
      </c>
      <c r="U23" s="42">
        <f t="shared" si="9"/>
        <v>-999</v>
      </c>
      <c r="V23" s="109">
        <f t="shared" si="10"/>
        <v>-999</v>
      </c>
      <c r="W23" s="120">
        <f>IF(AND($A23&gt;='Auswertung 3-Schicht'!D$3,$A23&lt;='Auswertung 3-Schicht'!D$4),Berechnung!C22,"")</f>
        <v>22.120667590039286</v>
      </c>
      <c r="X23" s="118" t="str">
        <f>IF(AND($A23&gt;='Auswertung 3-Schicht'!E$3,$A23&lt;='Auswertung 3-Schicht'!E$4),Berechnung!D22,"")</f>
        <v/>
      </c>
      <c r="Y23" s="118" t="str">
        <f>IF(AND($A23&gt;='Auswertung 3-Schicht'!F$3,$A23&lt;='Auswertung 3-Schicht'!F$4),Berechnung!E22,"")</f>
        <v/>
      </c>
      <c r="Z23" s="132" t="str">
        <f>IF(AND($A23&gt;='Auswertung 3-Schicht'!G$3,$A23&lt;='Auswertung 3-Schicht'!G$4),Berechnung!F22,"")</f>
        <v/>
      </c>
      <c r="AA23" s="118" t="str">
        <f>IF(AND($A23&gt;='Auswertung 3-Schicht'!H$3,$A23&lt;='Auswertung 3-Schicht'!H$4),Berechnung!K22,"")</f>
        <v/>
      </c>
      <c r="AB23" s="134" t="str">
        <f>IF(AND($A23&gt;='Auswertung 3-Schicht'!I$3,$A23&lt;='Auswertung 3-Schicht'!I$4),Berechnung!L22,"")</f>
        <v/>
      </c>
      <c r="AC23" s="118" t="str">
        <f>IF(AND($A23&gt;='Auswertung 3-Schicht'!J$3,$A23&lt;='Auswertung 3-Schicht'!J$4),Berechnung!P22,"")</f>
        <v/>
      </c>
      <c r="AD23" s="121" t="str">
        <f>IF(AND($A23&gt;='Auswertung 3-Schicht'!K$3,$A23&lt;='Auswertung 3-Schicht'!K$4),Berechnung!Q22,"")</f>
        <v/>
      </c>
      <c r="AE23" s="136" t="str">
        <f>IF(AND($A23&gt;='Auswertung 3-Schicht'!D$6,$A23&lt;='Auswertung 3-Schicht'!D$7),Berechnung!C22,"")</f>
        <v/>
      </c>
      <c r="AF23" s="118" t="str">
        <f>IF(AND($A23&gt;='Auswertung 3-Schicht'!E$6,$A23&lt;='Auswertung 3-Schicht'!E$7),Berechnung!D22,"")</f>
        <v/>
      </c>
      <c r="AG23" s="118" t="str">
        <f>IF(AND($A23&gt;='Auswertung 3-Schicht'!F$6,$A23&lt;='Auswertung 3-Schicht'!F$7),Berechnung!E22,"")</f>
        <v/>
      </c>
      <c r="AH23" s="118" t="str">
        <f>IF(AND($A23&gt;='Auswertung 3-Schicht'!G$6,$A23&lt;='Auswertung 3-Schicht'!G$7),Berechnung!F22,"")</f>
        <v/>
      </c>
      <c r="AI23" s="118" t="str">
        <f>IF(AND($A23&gt;='Auswertung 3-Schicht'!H$6,$A23&lt;='Auswertung 3-Schicht'!H$7),Berechnung!K22,"")</f>
        <v/>
      </c>
      <c r="AJ23" s="118" t="str">
        <f>IF(AND($A23&gt;='Auswertung 3-Schicht'!I$6,$A23&lt;='Auswertung 3-Schicht'!I$7),Berechnung!L22,"")</f>
        <v/>
      </c>
      <c r="AK23" s="118" t="str">
        <f>IF(AND($A23&gt;='Auswertung 3-Schicht'!J$6,$A23&lt;='Auswertung 3-Schicht'!J$7),Berechnung!P22,"")</f>
        <v/>
      </c>
      <c r="AL23" s="118" t="str">
        <f>IF(AND($A23&gt;='Auswertung 3-Schicht'!K$6,$A23&lt;='Auswertung 3-Schicht'!K$7),Berechnung!Q22,"")</f>
        <v/>
      </c>
      <c r="AM23" s="120" t="str">
        <f>IF(AND($A23&gt;='Auswertung 3-Schicht'!D$10,$A23&lt;='Auswertung 3-Schicht'!D$11),Berechnung!C22,"")</f>
        <v/>
      </c>
      <c r="AN23" s="118" t="str">
        <f>IF(AND($A23&gt;='Auswertung 3-Schicht'!E$10,$A23&lt;='Auswertung 3-Schicht'!E$11),Berechnung!D22,"")</f>
        <v/>
      </c>
      <c r="AO23" s="118">
        <f>IF(AND($A23&gt;='Auswertung 3-Schicht'!F$10,$A23&lt;='Auswertung 3-Schicht'!F$11),Berechnung!E22,"")</f>
        <v>75.564106864342975</v>
      </c>
      <c r="AP23" s="118">
        <f>IF(AND($A23&gt;='Auswertung 3-Schicht'!G$10,$A23&lt;='Auswertung 3-Schicht'!G$11),Berechnung!F22,"")</f>
        <v>69.01609830163278</v>
      </c>
      <c r="AQ23" s="118" t="str">
        <f>IF(AND($A23&gt;='Auswertung 3-Schicht'!H$10,$A23&lt;='Auswertung 3-Schicht'!H$11),Berechnung!K22,"")</f>
        <v/>
      </c>
      <c r="AR23" s="118" t="str">
        <f>IF(AND($A23&gt;='Auswertung 3-Schicht'!I$10,$A23&lt;='Auswertung 3-Schicht'!I$11),Berechnung!L22,"")</f>
        <v/>
      </c>
      <c r="AS23" s="118" t="str">
        <f>IF(AND($A23&gt;='Auswertung 3-Schicht'!J$10,$A23&lt;='Auswertung 3-Schicht'!J$11),Berechnung!P22,"")</f>
        <v/>
      </c>
      <c r="AT23" s="118" t="str">
        <f>IF(AND($A23&gt;='Auswertung 3-Schicht'!K$10,$A23&lt;='Auswertung 3-Schicht'!K$11),Berechnung!Q22,"")</f>
        <v/>
      </c>
      <c r="AU23" s="82">
        <f t="shared" si="11"/>
        <v>22.120667590039286</v>
      </c>
      <c r="AV23" s="42">
        <f t="shared" si="12"/>
        <v>-999</v>
      </c>
      <c r="AW23" s="79">
        <f t="shared" si="13"/>
        <v>-999</v>
      </c>
      <c r="AX23" s="79">
        <f t="shared" si="14"/>
        <v>-999</v>
      </c>
      <c r="AY23" s="79">
        <f t="shared" si="15"/>
        <v>-999</v>
      </c>
      <c r="AZ23" s="42">
        <f t="shared" si="16"/>
        <v>-999</v>
      </c>
      <c r="BA23" s="83">
        <f t="shared" si="17"/>
        <v>-999</v>
      </c>
      <c r="BB23" s="80">
        <f t="shared" si="18"/>
        <v>-999</v>
      </c>
      <c r="BC23" s="42">
        <f t="shared" si="19"/>
        <v>-999</v>
      </c>
      <c r="BD23" s="42">
        <f t="shared" si="20"/>
        <v>-999</v>
      </c>
      <c r="BE23" s="42">
        <f t="shared" si="21"/>
        <v>-999</v>
      </c>
      <c r="BF23" s="42">
        <f t="shared" si="22"/>
        <v>-999</v>
      </c>
      <c r="BG23" s="42">
        <f t="shared" si="23"/>
        <v>-999</v>
      </c>
      <c r="BH23" s="83">
        <f t="shared" si="24"/>
        <v>-999</v>
      </c>
      <c r="BI23" s="82">
        <f t="shared" si="25"/>
        <v>-999</v>
      </c>
      <c r="BJ23" s="42">
        <f t="shared" si="26"/>
        <v>75.564106864342975</v>
      </c>
      <c r="BK23" s="42">
        <f t="shared" si="27"/>
        <v>69.01609830163278</v>
      </c>
      <c r="BL23" s="42">
        <f t="shared" si="28"/>
        <v>-999</v>
      </c>
      <c r="BM23" s="42">
        <f t="shared" si="29"/>
        <v>-999</v>
      </c>
      <c r="BN23" s="42">
        <f t="shared" si="30"/>
        <v>-999</v>
      </c>
      <c r="BO23" s="83">
        <f t="shared" si="31"/>
        <v>-999</v>
      </c>
      <c r="BP23" s="80">
        <f>IF('Auswertung 2-Schicht'!O$4="",-999,MIN(1000*SQRT((A23+1)^2+AVERAGE(T0_Korrektur!D$1,T0_Korrektur!F$1,T0_Korrektur!H$1)^2)/'Auswertung 2-Schicht'!$O$4,'Auswertung 2-Schicht'!$O$8+1000*SQRT((A23+1)^2+AVERAGE(T0_Korrektur!D$1,T0_Korrektur!F$1,T0_Korrektur!H$1)^2)/'Auswertung 2-Schicht'!$O$7))</f>
        <v>70.714537398519212</v>
      </c>
      <c r="BQ23" s="83">
        <f>IF('Auswertung 3-Schicht'!N$4="",-999,IF('Auswertung 3-Schicht'!N$8="",MIN(1000*SQRT((A23+1)^2+AVERAGE(T0_Korrektur!D$1,T0_Korrektur!F$1,T0_Korrektur!H$1)^2)/'Auswertung 3-Schicht'!N$4,'Auswertung 3-Schicht'!N$6+1000*SQRT((A23+1)^2+AVERAGE(T0_Korrektur!D$1,T0_Korrektur!F$1,T0_Korrektur!H$1)^2)/'Auswertung 3-Schicht'!N$5),MIN(1000*SQRT((A23+1)^2+AVERAGE(T0_Korrektur!D$1,T0_Korrektur!F$1,T0_Korrektur!H$1)^2)/'Auswertung 3-Schicht'!N$4,'Auswertung 3-Schicht'!N$6+1000*SQRT((A23+1)^2+AVERAGE(T0_Korrektur!D$1,T0_Korrektur!F$1,T0_Korrektur!H$1)^2)/'Auswertung 3-Schicht'!N$5,'Auswertung 3-Schicht'!N$9+1000*SQRT((A23+1)^2+AVERAGE(T0_Korrektur!D$1,T0_Korrektur!F$1,T0_Korrektur!H$1)^2)/'Auswertung 3-Schicht'!N$8)))</f>
        <v>67.691268636844427</v>
      </c>
      <c r="BR23" s="82">
        <f>ABS(T0_Korrektur!C22)</f>
        <v>11.377719455145657</v>
      </c>
      <c r="BS23" s="42">
        <f>ABS(T0_Korrektur!E22)</f>
        <v>110.01163574822438</v>
      </c>
      <c r="BT23" s="42">
        <f>ABS(T0_Korrektur!I22)</f>
        <v>999</v>
      </c>
      <c r="BU23" s="79">
        <f>ABS(T0_Korrektur!M22)</f>
        <v>999</v>
      </c>
      <c r="BV23" s="120">
        <f>IF(T0_Korrektur!H22="","",T0_Korrektur!H22-Hilfsdaten!BP23)</f>
        <v>-1.6838373985192163</v>
      </c>
      <c r="BW23" s="118">
        <f>IF(T0_Korrektur!D46="","",T0_Korrektur!D46-Hilfsdaten!BP23)</f>
        <v>-3.3803373985192167</v>
      </c>
      <c r="BX23" s="118">
        <f>IF(T0_Korrektur!D7="","",T0_Korrektur!D7-Hilfsdaten!BP23)</f>
        <v>-4.3412373985192119</v>
      </c>
      <c r="BY23" s="118">
        <f>IF(T0_Korrektur!F37="","",T0_Korrektur!F37-Hilfsdaten!BP23)</f>
        <v>-17.424037398519211</v>
      </c>
      <c r="BZ23" s="120">
        <f>IF(T0_Korrektur!H22="","",T0_Korrektur!H22-Hilfsdaten!BQ23)</f>
        <v>1.339431363155569</v>
      </c>
      <c r="CA23" s="118">
        <f>IF(T0_Korrektur!D46="","",T0_Korrektur!D46-Hilfsdaten!BQ23)</f>
        <v>-0.35706863684443135</v>
      </c>
      <c r="CB23" s="118">
        <f>IF(T0_Korrektur!D7="","",T0_Korrektur!D7-Hilfsdaten!BQ23)</f>
        <v>-1.3179686368444266</v>
      </c>
      <c r="CC23" s="121">
        <f>IF(T0_Korrektur!F37="","",T0_Korrektur!F37-Hilfsdaten!BQ23)</f>
        <v>-14.400768636844425</v>
      </c>
      <c r="CD23" s="115"/>
    </row>
    <row r="24" spans="1:82" x14ac:dyDescent="0.2">
      <c r="A24" s="130">
        <f>'Picks importieren'!B24</f>
        <v>87.5</v>
      </c>
      <c r="B24" s="120">
        <f>IF(AND($A24&gt;='Auswertung 2-Schicht'!C$3,$A24&lt;='Auswertung 2-Schicht'!C$4),Berechnung!C23,"")</f>
        <v>16.995212476370753</v>
      </c>
      <c r="C24" s="118" t="str">
        <f>IF(AND($A24&gt;='Auswertung 2-Schicht'!D$3,$A24&lt;='Auswertung 2-Schicht'!D$4),Berechnung!D23,"")</f>
        <v/>
      </c>
      <c r="D24" s="118" t="str">
        <f>IF(AND($A24&gt;='Auswertung 2-Schicht'!E$3,$A24&lt;='Auswertung 2-Schicht'!E$4),Berechnung!G23,"")</f>
        <v/>
      </c>
      <c r="E24" s="121" t="str">
        <f>IF(AND($A24&gt;='Auswertung 2-Schicht'!F$3,$A24&lt;='Auswertung 2-Schicht'!F$4),Berechnung!F23,"")</f>
        <v/>
      </c>
      <c r="F24" s="131">
        <f>IF(AND($A24&gt;='Auswertung 2-Schicht'!H$3,$A24&lt;='Auswertung 2-Schicht'!H$4),IF('Auswertung 2-Schicht'!$H$8=1,Berechnung!I23,IF('Auswertung 2-Schicht'!$H$8=2,Berechnung!N23,Berechnung!S23)),"")</f>
        <v>90.480371014857397</v>
      </c>
      <c r="G24" s="118">
        <f>IF(AND($A24&gt;='Auswertung 2-Schicht'!H$3,$A24&lt;='Auswertung 2-Schicht'!H$4),IF('Auswertung 2-Schicht'!$H$8=1,Berechnung!J23,IF('Auswertung 2-Schicht'!$H$8=2,Berechnung!O23,Berechnung!T23)),"")</f>
        <v>44.270511025226398</v>
      </c>
      <c r="H24" s="118" t="str">
        <f>IF(AND($A24&gt;='Auswertung 2-Schicht'!I$3,$A24&lt;='Auswertung 2-Schicht'!I$4),Berechnung!K23,"")</f>
        <v/>
      </c>
      <c r="I24" s="132" t="str">
        <f>IF(AND($A24&gt;='Auswertung 2-Schicht'!J$3,$A24&lt;='Auswertung 2-Schicht'!J$4),Berechnung!L23,"")</f>
        <v/>
      </c>
      <c r="J24" s="118" t="str">
        <f>IF(AND($A24&gt;='Auswertung 2-Schicht'!K$3,$A24&lt;='Auswertung 2-Schicht'!K$4),Berechnung!P23,"")</f>
        <v/>
      </c>
      <c r="K24" s="134" t="str">
        <f>IF(AND($A24&gt;='Auswertung 2-Schicht'!L$3,$A24&lt;='Auswertung 2-Schicht'!L$4),Berechnung!Q23,"")</f>
        <v/>
      </c>
      <c r="L24" s="131">
        <f>IF('Auswertung 2-Schicht'!$H$8=1,Berechnung!I23,IF('Auswertung 2-Schicht'!$H$8=2,Berechnung!N23,Berechnung!S23))</f>
        <v>90.480371014857397</v>
      </c>
      <c r="M24" s="133">
        <f>IF('Auswertung 2-Schicht'!$H$8=1,Berechnung!J23,IF('Auswertung 2-Schicht'!$H$8=2,Berechnung!O23,Berechnung!T23))</f>
        <v>44.270511025226398</v>
      </c>
      <c r="N24" s="82">
        <f t="shared" si="4"/>
        <v>16.995212476370753</v>
      </c>
      <c r="O24" s="42">
        <f t="shared" si="32"/>
        <v>-999</v>
      </c>
      <c r="P24" s="83">
        <f t="shared" si="33"/>
        <v>-999</v>
      </c>
      <c r="Q24" s="82">
        <f t="shared" si="5"/>
        <v>90.480371014857397</v>
      </c>
      <c r="R24" s="42">
        <f t="shared" si="6"/>
        <v>44.270511025226398</v>
      </c>
      <c r="S24" s="42">
        <f t="shared" si="7"/>
        <v>-999</v>
      </c>
      <c r="T24" s="42">
        <f t="shared" si="8"/>
        <v>-999</v>
      </c>
      <c r="U24" s="42">
        <f t="shared" si="9"/>
        <v>-999</v>
      </c>
      <c r="V24" s="109">
        <f t="shared" si="10"/>
        <v>-999</v>
      </c>
      <c r="W24" s="120">
        <f>IF(AND($A24&gt;='Auswertung 3-Schicht'!D$3,$A24&lt;='Auswertung 3-Schicht'!D$4),Berechnung!C23,"")</f>
        <v>16.995212476370753</v>
      </c>
      <c r="X24" s="118" t="str">
        <f>IF(AND($A24&gt;='Auswertung 3-Schicht'!E$3,$A24&lt;='Auswertung 3-Schicht'!E$4),Berechnung!D23,"")</f>
        <v/>
      </c>
      <c r="Y24" s="118" t="str">
        <f>IF(AND($A24&gt;='Auswertung 3-Schicht'!F$3,$A24&lt;='Auswertung 3-Schicht'!F$4),Berechnung!E23,"")</f>
        <v/>
      </c>
      <c r="Z24" s="132" t="str">
        <f>IF(AND($A24&gt;='Auswertung 3-Schicht'!G$3,$A24&lt;='Auswertung 3-Schicht'!G$4),Berechnung!F23,"")</f>
        <v/>
      </c>
      <c r="AA24" s="118" t="str">
        <f>IF(AND($A24&gt;='Auswertung 3-Schicht'!H$3,$A24&lt;='Auswertung 3-Schicht'!H$4),Berechnung!K23,"")</f>
        <v/>
      </c>
      <c r="AB24" s="134" t="str">
        <f>IF(AND($A24&gt;='Auswertung 3-Schicht'!I$3,$A24&lt;='Auswertung 3-Schicht'!I$4),Berechnung!L23,"")</f>
        <v/>
      </c>
      <c r="AC24" s="118" t="str">
        <f>IF(AND($A24&gt;='Auswertung 3-Schicht'!J$3,$A24&lt;='Auswertung 3-Schicht'!J$4),Berechnung!P23,"")</f>
        <v/>
      </c>
      <c r="AD24" s="121" t="str">
        <f>IF(AND($A24&gt;='Auswertung 3-Schicht'!K$3,$A24&lt;='Auswertung 3-Schicht'!K$4),Berechnung!Q23,"")</f>
        <v/>
      </c>
      <c r="AE24" s="136" t="str">
        <f>IF(AND($A24&gt;='Auswertung 3-Schicht'!D$6,$A24&lt;='Auswertung 3-Schicht'!D$7),Berechnung!C23,"")</f>
        <v/>
      </c>
      <c r="AF24" s="118" t="str">
        <f>IF(AND($A24&gt;='Auswertung 3-Schicht'!E$6,$A24&lt;='Auswertung 3-Schicht'!E$7),Berechnung!D23,"")</f>
        <v/>
      </c>
      <c r="AG24" s="118" t="str">
        <f>IF(AND($A24&gt;='Auswertung 3-Schicht'!F$6,$A24&lt;='Auswertung 3-Schicht'!F$7),Berechnung!E23,"")</f>
        <v/>
      </c>
      <c r="AH24" s="118" t="str">
        <f>IF(AND($A24&gt;='Auswertung 3-Schicht'!G$6,$A24&lt;='Auswertung 3-Schicht'!G$7),Berechnung!F23,"")</f>
        <v/>
      </c>
      <c r="AI24" s="118" t="str">
        <f>IF(AND($A24&gt;='Auswertung 3-Schicht'!H$6,$A24&lt;='Auswertung 3-Schicht'!H$7),Berechnung!K23,"")</f>
        <v/>
      </c>
      <c r="AJ24" s="118" t="str">
        <f>IF(AND($A24&gt;='Auswertung 3-Schicht'!I$6,$A24&lt;='Auswertung 3-Schicht'!I$7),Berechnung!L23,"")</f>
        <v/>
      </c>
      <c r="AK24" s="118" t="str">
        <f>IF(AND($A24&gt;='Auswertung 3-Schicht'!J$6,$A24&lt;='Auswertung 3-Schicht'!J$7),Berechnung!P23,"")</f>
        <v/>
      </c>
      <c r="AL24" s="118" t="str">
        <f>IF(AND($A24&gt;='Auswertung 3-Schicht'!K$6,$A24&lt;='Auswertung 3-Schicht'!K$7),Berechnung!Q23,"")</f>
        <v/>
      </c>
      <c r="AM24" s="120" t="str">
        <f>IF(AND($A24&gt;='Auswertung 3-Schicht'!D$10,$A24&lt;='Auswertung 3-Schicht'!D$11),Berechnung!C23,"")</f>
        <v/>
      </c>
      <c r="AN24" s="118" t="str">
        <f>IF(AND($A24&gt;='Auswertung 3-Schicht'!E$10,$A24&lt;='Auswertung 3-Schicht'!E$11),Berechnung!D23,"")</f>
        <v/>
      </c>
      <c r="AO24" s="118">
        <f>IF(AND($A24&gt;='Auswertung 3-Schicht'!F$10,$A24&lt;='Auswertung 3-Schicht'!F$11),Berechnung!E23,"")</f>
        <v>74.746121385626509</v>
      </c>
      <c r="AP24" s="118">
        <f>IF(AND($A24&gt;='Auswertung 3-Schicht'!G$10,$A24&lt;='Auswertung 3-Schicht'!G$11),Berechnung!F23,"")</f>
        <v>70.728955623171629</v>
      </c>
      <c r="AQ24" s="118" t="str">
        <f>IF(AND($A24&gt;='Auswertung 3-Schicht'!H$10,$A24&lt;='Auswertung 3-Schicht'!H$11),Berechnung!K23,"")</f>
        <v/>
      </c>
      <c r="AR24" s="118" t="str">
        <f>IF(AND($A24&gt;='Auswertung 3-Schicht'!I$10,$A24&lt;='Auswertung 3-Schicht'!I$11),Berechnung!L23,"")</f>
        <v/>
      </c>
      <c r="AS24" s="118" t="str">
        <f>IF(AND($A24&gt;='Auswertung 3-Schicht'!J$10,$A24&lt;='Auswertung 3-Schicht'!J$11),Berechnung!P23,"")</f>
        <v/>
      </c>
      <c r="AT24" s="118" t="str">
        <f>IF(AND($A24&gt;='Auswertung 3-Schicht'!K$10,$A24&lt;='Auswertung 3-Schicht'!K$11),Berechnung!Q23,"")</f>
        <v/>
      </c>
      <c r="AU24" s="82">
        <f t="shared" si="11"/>
        <v>16.995212476370753</v>
      </c>
      <c r="AV24" s="42">
        <f t="shared" si="12"/>
        <v>-999</v>
      </c>
      <c r="AW24" s="79">
        <f t="shared" si="13"/>
        <v>-999</v>
      </c>
      <c r="AX24" s="79">
        <f t="shared" si="14"/>
        <v>-999</v>
      </c>
      <c r="AY24" s="79">
        <f t="shared" si="15"/>
        <v>-999</v>
      </c>
      <c r="AZ24" s="42">
        <f t="shared" si="16"/>
        <v>-999</v>
      </c>
      <c r="BA24" s="83">
        <f t="shared" si="17"/>
        <v>-999</v>
      </c>
      <c r="BB24" s="80">
        <f t="shared" si="18"/>
        <v>-999</v>
      </c>
      <c r="BC24" s="42">
        <f t="shared" si="19"/>
        <v>-999</v>
      </c>
      <c r="BD24" s="42">
        <f t="shared" si="20"/>
        <v>-999</v>
      </c>
      <c r="BE24" s="42">
        <f t="shared" si="21"/>
        <v>-999</v>
      </c>
      <c r="BF24" s="42">
        <f t="shared" si="22"/>
        <v>-999</v>
      </c>
      <c r="BG24" s="42">
        <f t="shared" si="23"/>
        <v>-999</v>
      </c>
      <c r="BH24" s="83">
        <f t="shared" si="24"/>
        <v>-999</v>
      </c>
      <c r="BI24" s="82">
        <f t="shared" si="25"/>
        <v>-999</v>
      </c>
      <c r="BJ24" s="42">
        <f t="shared" si="26"/>
        <v>74.746121385626509</v>
      </c>
      <c r="BK24" s="42">
        <f t="shared" si="27"/>
        <v>70.728955623171629</v>
      </c>
      <c r="BL24" s="42">
        <f t="shared" si="28"/>
        <v>-999</v>
      </c>
      <c r="BM24" s="42">
        <f t="shared" si="29"/>
        <v>-999</v>
      </c>
      <c r="BN24" s="42">
        <f t="shared" si="30"/>
        <v>-999</v>
      </c>
      <c r="BO24" s="83">
        <f t="shared" si="31"/>
        <v>-999</v>
      </c>
      <c r="BP24" s="80">
        <f>IF('Auswertung 2-Schicht'!O$4="",-999,MIN(1000*SQRT((A24+1)^2+AVERAGE(T0_Korrektur!D$1,T0_Korrektur!F$1,T0_Korrektur!H$1)^2)/'Auswertung 2-Schicht'!$O$4,'Auswertung 2-Schicht'!$O$8+1000*SQRT((A24+1)^2+AVERAGE(T0_Korrektur!D$1,T0_Korrektur!F$1,T0_Korrektur!H$1)^2)/'Auswertung 2-Schicht'!$O$7))</f>
        <v>71.690884835660853</v>
      </c>
      <c r="BQ24" s="83">
        <f>IF('Auswertung 3-Schicht'!N$4="",-999,IF('Auswertung 3-Schicht'!N$8="",MIN(1000*SQRT((A24+1)^2+AVERAGE(T0_Korrektur!D$1,T0_Korrektur!F$1,T0_Korrektur!H$1)^2)/'Auswertung 3-Schicht'!N$4,'Auswertung 3-Schicht'!N$6+1000*SQRT((A24+1)^2+AVERAGE(T0_Korrektur!D$1,T0_Korrektur!F$1,T0_Korrektur!H$1)^2)/'Auswertung 3-Schicht'!N$5),MIN(1000*SQRT((A24+1)^2+AVERAGE(T0_Korrektur!D$1,T0_Korrektur!F$1,T0_Korrektur!H$1)^2)/'Auswertung 3-Schicht'!N$4,'Auswertung 3-Schicht'!N$6+1000*SQRT((A24+1)^2+AVERAGE(T0_Korrektur!D$1,T0_Korrektur!F$1,T0_Korrektur!H$1)^2)/'Auswertung 3-Schicht'!N$5,'Auswertung 3-Schicht'!N$9+1000*SQRT((A24+1)^2+AVERAGE(T0_Korrektur!D$1,T0_Korrektur!F$1,T0_Korrektur!H$1)^2)/'Auswertung 3-Schicht'!N$8)))</f>
        <v>68.456117962552383</v>
      </c>
      <c r="BR24" s="82">
        <f>ABS(T0_Korrektur!C23)</f>
        <v>8.9136131843377626</v>
      </c>
      <c r="BS24" s="42">
        <f>ABS(T0_Korrektur!E23)</f>
        <v>107.51190631739351</v>
      </c>
      <c r="BT24" s="42">
        <f>ABS(T0_Korrektur!I23)</f>
        <v>999</v>
      </c>
      <c r="BU24" s="79">
        <f>ABS(T0_Korrektur!M23)</f>
        <v>999</v>
      </c>
      <c r="BV24" s="120">
        <f>IF(T0_Korrektur!H23="","",T0_Korrektur!H23-Hilfsdaten!BP24)</f>
        <v>-0.9477848356608547</v>
      </c>
      <c r="BW24" s="118">
        <f>IF(T0_Korrektur!D47="","",T0_Korrektur!D47-Hilfsdaten!BP24)</f>
        <v>-3.2302848356608536</v>
      </c>
      <c r="BX24" s="118">
        <f>IF(T0_Korrektur!D6="","",T0_Korrektur!D6-Hilfsdaten!BP24)</f>
        <v>-4.4999848356608538</v>
      </c>
      <c r="BY24" s="118">
        <f>IF(T0_Korrektur!F36="","",T0_Korrektur!F36-Hilfsdaten!BP24)</f>
        <v>-16.151984835660855</v>
      </c>
      <c r="BZ24" s="120">
        <f>IF(T0_Korrektur!H23="","",T0_Korrektur!H23-Hilfsdaten!BQ24)</f>
        <v>2.2869820374476149</v>
      </c>
      <c r="CA24" s="118">
        <f>IF(T0_Korrektur!D47="","",T0_Korrektur!D47-Hilfsdaten!BQ24)</f>
        <v>4.4820374476159941E-3</v>
      </c>
      <c r="CB24" s="118">
        <f>IF(T0_Korrektur!D6="","",T0_Korrektur!D6-Hilfsdaten!BQ24)</f>
        <v>-1.2652179625523843</v>
      </c>
      <c r="CC24" s="121">
        <f>IF(T0_Korrektur!F36="","",T0_Korrektur!F36-Hilfsdaten!BQ24)</f>
        <v>-12.917217962552385</v>
      </c>
      <c r="CD24" s="115"/>
    </row>
    <row r="25" spans="1:82" x14ac:dyDescent="0.2">
      <c r="A25" s="130">
        <f>'Picks importieren'!B25</f>
        <v>90</v>
      </c>
      <c r="B25" s="120">
        <f>IF(AND($A25&gt;='Auswertung 2-Schicht'!C$3,$A25&lt;='Auswertung 2-Schicht'!C$4),Berechnung!C24,"")</f>
        <v>12.76106507140079</v>
      </c>
      <c r="C25" s="118" t="str">
        <f>IF(AND($A25&gt;='Auswertung 2-Schicht'!D$3,$A25&lt;='Auswertung 2-Schicht'!D$4),Berechnung!D24,"")</f>
        <v/>
      </c>
      <c r="D25" s="118" t="str">
        <f>IF(AND($A25&gt;='Auswertung 2-Schicht'!E$3,$A25&lt;='Auswertung 2-Schicht'!E$4),Berechnung!G24,"")</f>
        <v/>
      </c>
      <c r="E25" s="121" t="str">
        <f>IF(AND($A25&gt;='Auswertung 2-Schicht'!F$3,$A25&lt;='Auswertung 2-Schicht'!F$4),Berechnung!F24,"")</f>
        <v/>
      </c>
      <c r="F25" s="131">
        <f>IF(AND($A25&gt;='Auswertung 2-Schicht'!H$3,$A25&lt;='Auswertung 2-Schicht'!H$4),IF('Auswertung 2-Schicht'!$H$8=1,Berechnung!I24,IF('Auswertung 2-Schicht'!$H$8=2,Berechnung!N24,Berechnung!S24)),"")</f>
        <v>91.171019536226169</v>
      </c>
      <c r="G25" s="118">
        <f>IF(AND($A25&gt;='Auswertung 2-Schicht'!H$3,$A25&lt;='Auswertung 2-Schicht'!H$4),IF('Auswertung 2-Schicht'!$H$8=1,Berechnung!J24,IF('Auswertung 2-Schicht'!$H$8=2,Berechnung!O24,Berechnung!T24)),"")</f>
        <v>44.244844926390556</v>
      </c>
      <c r="H25" s="118" t="str">
        <f>IF(AND($A25&gt;='Auswertung 2-Schicht'!I$3,$A25&lt;='Auswertung 2-Schicht'!I$4),Berechnung!K24,"")</f>
        <v/>
      </c>
      <c r="I25" s="132" t="str">
        <f>IF(AND($A25&gt;='Auswertung 2-Schicht'!J$3,$A25&lt;='Auswertung 2-Schicht'!J$4),Berechnung!L24,"")</f>
        <v/>
      </c>
      <c r="J25" s="118" t="str">
        <f>IF(AND($A25&gt;='Auswertung 2-Schicht'!K$3,$A25&lt;='Auswertung 2-Schicht'!K$4),Berechnung!P24,"")</f>
        <v/>
      </c>
      <c r="K25" s="134" t="str">
        <f>IF(AND($A25&gt;='Auswertung 2-Schicht'!L$3,$A25&lt;='Auswertung 2-Schicht'!L$4),Berechnung!Q24,"")</f>
        <v/>
      </c>
      <c r="L25" s="131">
        <f>IF('Auswertung 2-Schicht'!$H$8=1,Berechnung!I24,IF('Auswertung 2-Schicht'!$H$8=2,Berechnung!N24,Berechnung!S24))</f>
        <v>91.171019536226169</v>
      </c>
      <c r="M25" s="133">
        <f>IF('Auswertung 2-Schicht'!$H$8=1,Berechnung!J24,IF('Auswertung 2-Schicht'!$H$8=2,Berechnung!O24,Berechnung!T24))</f>
        <v>44.244844926390556</v>
      </c>
      <c r="N25" s="82">
        <f t="shared" si="4"/>
        <v>12.76106507140079</v>
      </c>
      <c r="O25" s="42">
        <f t="shared" si="32"/>
        <v>-999</v>
      </c>
      <c r="P25" s="83">
        <f t="shared" si="33"/>
        <v>-999</v>
      </c>
      <c r="Q25" s="82">
        <f t="shared" si="5"/>
        <v>91.171019536226169</v>
      </c>
      <c r="R25" s="42">
        <f t="shared" si="6"/>
        <v>44.244844926390556</v>
      </c>
      <c r="S25" s="42">
        <f t="shared" si="7"/>
        <v>-999</v>
      </c>
      <c r="T25" s="42">
        <f t="shared" si="8"/>
        <v>-999</v>
      </c>
      <c r="U25" s="42">
        <f t="shared" si="9"/>
        <v>-999</v>
      </c>
      <c r="V25" s="109">
        <f t="shared" si="10"/>
        <v>-999</v>
      </c>
      <c r="W25" s="120">
        <f>IF(AND($A25&gt;='Auswertung 3-Schicht'!D$3,$A25&lt;='Auswertung 3-Schicht'!D$4),Berechnung!C24,"")</f>
        <v>12.76106507140079</v>
      </c>
      <c r="X25" s="118" t="str">
        <f>IF(AND($A25&gt;='Auswertung 3-Schicht'!E$3,$A25&lt;='Auswertung 3-Schicht'!E$4),Berechnung!D24,"")</f>
        <v/>
      </c>
      <c r="Y25" s="118" t="str">
        <f>IF(AND($A25&gt;='Auswertung 3-Schicht'!F$3,$A25&lt;='Auswertung 3-Schicht'!F$4),Berechnung!E24,"")</f>
        <v/>
      </c>
      <c r="Z25" s="132" t="str">
        <f>IF(AND($A25&gt;='Auswertung 3-Schicht'!G$3,$A25&lt;='Auswertung 3-Schicht'!G$4),Berechnung!F24,"")</f>
        <v/>
      </c>
      <c r="AA25" s="118" t="str">
        <f>IF(AND($A25&gt;='Auswertung 3-Schicht'!H$3,$A25&lt;='Auswertung 3-Schicht'!H$4),Berechnung!K24,"")</f>
        <v/>
      </c>
      <c r="AB25" s="134" t="str">
        <f>IF(AND($A25&gt;='Auswertung 3-Schicht'!I$3,$A25&lt;='Auswertung 3-Schicht'!I$4),Berechnung!L24,"")</f>
        <v/>
      </c>
      <c r="AC25" s="118" t="str">
        <f>IF(AND($A25&gt;='Auswertung 3-Schicht'!J$3,$A25&lt;='Auswertung 3-Schicht'!J$4),Berechnung!P24,"")</f>
        <v/>
      </c>
      <c r="AD25" s="121" t="str">
        <f>IF(AND($A25&gt;='Auswertung 3-Schicht'!K$3,$A25&lt;='Auswertung 3-Schicht'!K$4),Berechnung!Q24,"")</f>
        <v/>
      </c>
      <c r="AE25" s="136" t="str">
        <f>IF(AND($A25&gt;='Auswertung 3-Schicht'!D$6,$A25&lt;='Auswertung 3-Schicht'!D$7),Berechnung!C24,"")</f>
        <v/>
      </c>
      <c r="AF25" s="118" t="str">
        <f>IF(AND($A25&gt;='Auswertung 3-Schicht'!E$6,$A25&lt;='Auswertung 3-Schicht'!E$7),Berechnung!D24,"")</f>
        <v/>
      </c>
      <c r="AG25" s="118" t="str">
        <f>IF(AND($A25&gt;='Auswertung 3-Schicht'!F$6,$A25&lt;='Auswertung 3-Schicht'!F$7),Berechnung!E24,"")</f>
        <v/>
      </c>
      <c r="AH25" s="118" t="str">
        <f>IF(AND($A25&gt;='Auswertung 3-Schicht'!G$6,$A25&lt;='Auswertung 3-Schicht'!G$7),Berechnung!F24,"")</f>
        <v/>
      </c>
      <c r="AI25" s="118" t="str">
        <f>IF(AND($A25&gt;='Auswertung 3-Schicht'!H$6,$A25&lt;='Auswertung 3-Schicht'!H$7),Berechnung!K24,"")</f>
        <v/>
      </c>
      <c r="AJ25" s="118" t="str">
        <f>IF(AND($A25&gt;='Auswertung 3-Schicht'!I$6,$A25&lt;='Auswertung 3-Schicht'!I$7),Berechnung!L24,"")</f>
        <v/>
      </c>
      <c r="AK25" s="118" t="str">
        <f>IF(AND($A25&gt;='Auswertung 3-Schicht'!J$6,$A25&lt;='Auswertung 3-Schicht'!J$7),Berechnung!P24,"")</f>
        <v/>
      </c>
      <c r="AL25" s="118" t="str">
        <f>IF(AND($A25&gt;='Auswertung 3-Schicht'!K$6,$A25&lt;='Auswertung 3-Schicht'!K$7),Berechnung!Q24,"")</f>
        <v/>
      </c>
      <c r="AM25" s="120" t="str">
        <f>IF(AND($A25&gt;='Auswertung 3-Schicht'!D$10,$A25&lt;='Auswertung 3-Schicht'!D$11),Berechnung!C24,"")</f>
        <v/>
      </c>
      <c r="AN25" s="118" t="str">
        <f>IF(AND($A25&gt;='Auswertung 3-Schicht'!E$10,$A25&lt;='Auswertung 3-Schicht'!E$11),Berechnung!D24,"")</f>
        <v/>
      </c>
      <c r="AO25" s="118">
        <f>IF(AND($A25&gt;='Auswertung 3-Schicht'!F$10,$A25&lt;='Auswertung 3-Schicht'!F$11),Berechnung!E24,"")</f>
        <v>74.387964075524195</v>
      </c>
      <c r="AP25" s="118">
        <f>IF(AND($A25&gt;='Auswertung 3-Schicht'!G$10,$A25&lt;='Auswertung 3-Schicht'!G$11),Berechnung!F24,"")</f>
        <v>71.061446834438087</v>
      </c>
      <c r="AQ25" s="118" t="str">
        <f>IF(AND($A25&gt;='Auswertung 3-Schicht'!H$10,$A25&lt;='Auswertung 3-Schicht'!H$11),Berechnung!K24,"")</f>
        <v/>
      </c>
      <c r="AR25" s="118" t="str">
        <f>IF(AND($A25&gt;='Auswertung 3-Schicht'!I$10,$A25&lt;='Auswertung 3-Schicht'!I$11),Berechnung!L24,"")</f>
        <v/>
      </c>
      <c r="AS25" s="118" t="str">
        <f>IF(AND($A25&gt;='Auswertung 3-Schicht'!J$10,$A25&lt;='Auswertung 3-Schicht'!J$11),Berechnung!P24,"")</f>
        <v/>
      </c>
      <c r="AT25" s="118" t="str">
        <f>IF(AND($A25&gt;='Auswertung 3-Schicht'!K$10,$A25&lt;='Auswertung 3-Schicht'!K$11),Berechnung!Q24,"")</f>
        <v/>
      </c>
      <c r="AU25" s="82">
        <f t="shared" si="11"/>
        <v>12.76106507140079</v>
      </c>
      <c r="AV25" s="42">
        <f t="shared" si="12"/>
        <v>-999</v>
      </c>
      <c r="AW25" s="79">
        <f t="shared" si="13"/>
        <v>-999</v>
      </c>
      <c r="AX25" s="79">
        <f t="shared" si="14"/>
        <v>-999</v>
      </c>
      <c r="AY25" s="79">
        <f t="shared" si="15"/>
        <v>-999</v>
      </c>
      <c r="AZ25" s="42">
        <f t="shared" si="16"/>
        <v>-999</v>
      </c>
      <c r="BA25" s="83">
        <f t="shared" si="17"/>
        <v>-999</v>
      </c>
      <c r="BB25" s="80">
        <f t="shared" si="18"/>
        <v>-999</v>
      </c>
      <c r="BC25" s="42">
        <f t="shared" si="19"/>
        <v>-999</v>
      </c>
      <c r="BD25" s="42">
        <f t="shared" si="20"/>
        <v>-999</v>
      </c>
      <c r="BE25" s="42">
        <f t="shared" si="21"/>
        <v>-999</v>
      </c>
      <c r="BF25" s="42">
        <f t="shared" si="22"/>
        <v>-999</v>
      </c>
      <c r="BG25" s="42">
        <f t="shared" si="23"/>
        <v>-999</v>
      </c>
      <c r="BH25" s="83">
        <f t="shared" si="24"/>
        <v>-999</v>
      </c>
      <c r="BI25" s="82">
        <f t="shared" si="25"/>
        <v>-999</v>
      </c>
      <c r="BJ25" s="42">
        <f t="shared" si="26"/>
        <v>74.387964075524195</v>
      </c>
      <c r="BK25" s="42">
        <f t="shared" si="27"/>
        <v>71.061446834438087</v>
      </c>
      <c r="BL25" s="42">
        <f t="shared" si="28"/>
        <v>-999</v>
      </c>
      <c r="BM25" s="42">
        <f t="shared" si="29"/>
        <v>-999</v>
      </c>
      <c r="BN25" s="42">
        <f t="shared" si="30"/>
        <v>-999</v>
      </c>
      <c r="BO25" s="83">
        <f t="shared" si="31"/>
        <v>-999</v>
      </c>
      <c r="BP25" s="80">
        <f>IF('Auswertung 2-Schicht'!O$4="",-999,MIN(1000*SQRT((A25+1)^2+AVERAGE(T0_Korrektur!D$1,T0_Korrektur!F$1,T0_Korrektur!H$1)^2)/'Auswertung 2-Schicht'!$O$4,'Auswertung 2-Schicht'!$O$8+1000*SQRT((A25+1)^2+AVERAGE(T0_Korrektur!D$1,T0_Korrektur!F$1,T0_Korrektur!H$1)^2)/'Auswertung 2-Schicht'!$O$7))</f>
        <v>72.667242454048932</v>
      </c>
      <c r="BQ25" s="83">
        <f>IF('Auswertung 3-Schicht'!N$4="",-999,IF('Auswertung 3-Schicht'!N$8="",MIN(1000*SQRT((A25+1)^2+AVERAGE(T0_Korrektur!D$1,T0_Korrektur!F$1,T0_Korrektur!H$1)^2)/'Auswertung 3-Schicht'!N$4,'Auswertung 3-Schicht'!N$6+1000*SQRT((A25+1)^2+AVERAGE(T0_Korrektur!D$1,T0_Korrektur!F$1,T0_Korrektur!H$1)^2)/'Auswertung 3-Schicht'!N$5),MIN(1000*SQRT((A25+1)^2+AVERAGE(T0_Korrektur!D$1,T0_Korrektur!F$1,T0_Korrektur!H$1)^2)/'Auswertung 3-Schicht'!N$4,'Auswertung 3-Schicht'!N$6+1000*SQRT((A25+1)^2+AVERAGE(T0_Korrektur!D$1,T0_Korrektur!F$1,T0_Korrektur!H$1)^2)/'Auswertung 3-Schicht'!N$5,'Auswertung 3-Schicht'!N$9+1000*SQRT((A25+1)^2+AVERAGE(T0_Korrektur!D$1,T0_Korrektur!F$1,T0_Korrektur!H$1)^2)/'Auswertung 3-Schicht'!N$8)))</f>
        <v>69.220975264027132</v>
      </c>
      <c r="BR25" s="82">
        <f>ABS(T0_Korrektur!C24)</f>
        <v>6.4770749571083401</v>
      </c>
      <c r="BS25" s="42">
        <f>ABS(T0_Korrektur!E24)</f>
        <v>105.01218976861686</v>
      </c>
      <c r="BT25" s="42">
        <f>ABS(T0_Korrektur!I24)</f>
        <v>999</v>
      </c>
      <c r="BU25" s="79">
        <f>ABS(T0_Korrektur!M24)</f>
        <v>999</v>
      </c>
      <c r="BV25" s="120">
        <f>IF(T0_Korrektur!H24="","",T0_Korrektur!H24-Hilfsdaten!BP25)</f>
        <v>-1.5923424540489322</v>
      </c>
      <c r="BW25" s="118">
        <f>IF(T0_Korrektur!D48="","",T0_Korrektur!D48-Hilfsdaten!BP25)</f>
        <v>-3.3618424540489258</v>
      </c>
      <c r="BX25" s="118">
        <f>IF(T0_Korrektur!D5="","",T0_Korrektur!D5-Hilfsdaten!BP25)</f>
        <v>-4.6586424540489304</v>
      </c>
      <c r="BY25" s="118">
        <f>IF(T0_Korrektur!F35="","",T0_Korrektur!F35-Hilfsdaten!BP25)</f>
        <v>-14.061842454048929</v>
      </c>
      <c r="BZ25" s="120">
        <f>IF(T0_Korrektur!H24="","",T0_Korrektur!H24-Hilfsdaten!BQ25)</f>
        <v>1.8539247359728677</v>
      </c>
      <c r="CA25" s="118">
        <f>IF(T0_Korrektur!D48="","",T0_Korrektur!D48-Hilfsdaten!BQ25)</f>
        <v>8.4424735972874032E-2</v>
      </c>
      <c r="CB25" s="118">
        <f>IF(T0_Korrektur!D5="","",T0_Korrektur!D5-Hilfsdaten!BQ25)</f>
        <v>-1.2123752640271306</v>
      </c>
      <c r="CC25" s="121">
        <f>IF(T0_Korrektur!F35="","",T0_Korrektur!F35-Hilfsdaten!BQ25)</f>
        <v>-10.615575264027129</v>
      </c>
      <c r="CD25" s="115"/>
    </row>
    <row r="26" spans="1:82" x14ac:dyDescent="0.2">
      <c r="A26" s="130">
        <f>'Picks importieren'!B26</f>
        <v>92.5</v>
      </c>
      <c r="B26" s="120">
        <f>IF(AND($A26&gt;='Auswertung 2-Schicht'!C$3,$A26&lt;='Auswertung 2-Schicht'!C$4),Berechnung!C25,"")</f>
        <v>7.3902755994971532</v>
      </c>
      <c r="C26" s="118" t="str">
        <f>IF(AND($A26&gt;='Auswertung 2-Schicht'!D$3,$A26&lt;='Auswertung 2-Schicht'!D$4),Berechnung!D25,"")</f>
        <v/>
      </c>
      <c r="D26" s="118" t="str">
        <f>IF(AND($A26&gt;='Auswertung 2-Schicht'!E$3,$A26&lt;='Auswertung 2-Schicht'!E$4),Berechnung!G25,"")</f>
        <v/>
      </c>
      <c r="E26" s="121" t="str">
        <f>IF(AND($A26&gt;='Auswertung 2-Schicht'!F$3,$A26&lt;='Auswertung 2-Schicht'!F$4),Berechnung!F25,"")</f>
        <v/>
      </c>
      <c r="F26" s="131">
        <f>IF(AND($A26&gt;='Auswertung 2-Schicht'!H$3,$A26&lt;='Auswertung 2-Schicht'!H$4),IF('Auswertung 2-Schicht'!$H$8=1,Berechnung!I25,IF('Auswertung 2-Schicht'!$H$8=2,Berechnung!N25,Berechnung!S25)),"")</f>
        <v>91.990649066903373</v>
      </c>
      <c r="G26" s="118">
        <f>IF(AND($A26&gt;='Auswertung 2-Schicht'!H$3,$A26&lt;='Auswertung 2-Schicht'!H$4),IF('Auswertung 2-Schicht'!$H$8=1,Berechnung!J25,IF('Auswertung 2-Schicht'!$H$8=2,Berechnung!O25,Berechnung!T25)),"")</f>
        <v>43.275239678252774</v>
      </c>
      <c r="H26" s="118" t="str">
        <f>IF(AND($A26&gt;='Auswertung 2-Schicht'!I$3,$A26&lt;='Auswertung 2-Schicht'!I$4),Berechnung!K25,"")</f>
        <v/>
      </c>
      <c r="I26" s="132" t="str">
        <f>IF(AND($A26&gt;='Auswertung 2-Schicht'!J$3,$A26&lt;='Auswertung 2-Schicht'!J$4),Berechnung!L25,"")</f>
        <v/>
      </c>
      <c r="J26" s="118" t="str">
        <f>IF(AND($A26&gt;='Auswertung 2-Schicht'!K$3,$A26&lt;='Auswertung 2-Schicht'!K$4),Berechnung!P25,"")</f>
        <v/>
      </c>
      <c r="K26" s="134" t="str">
        <f>IF(AND($A26&gt;='Auswertung 2-Schicht'!L$3,$A26&lt;='Auswertung 2-Schicht'!L$4),Berechnung!Q25,"")</f>
        <v/>
      </c>
      <c r="L26" s="131">
        <f>IF('Auswertung 2-Schicht'!$H$8=1,Berechnung!I25,IF('Auswertung 2-Schicht'!$H$8=2,Berechnung!N25,Berechnung!S25))</f>
        <v>91.990649066903373</v>
      </c>
      <c r="M26" s="133">
        <f>IF('Auswertung 2-Schicht'!$H$8=1,Berechnung!J25,IF('Auswertung 2-Schicht'!$H$8=2,Berechnung!O25,Berechnung!T25))</f>
        <v>43.275239678252774</v>
      </c>
      <c r="N26" s="82">
        <f t="shared" si="4"/>
        <v>7.3902755994971532</v>
      </c>
      <c r="O26" s="42">
        <f t="shared" si="32"/>
        <v>-999</v>
      </c>
      <c r="P26" s="83">
        <f t="shared" si="33"/>
        <v>-999</v>
      </c>
      <c r="Q26" s="82">
        <f t="shared" si="5"/>
        <v>91.990649066903373</v>
      </c>
      <c r="R26" s="42">
        <f t="shared" si="6"/>
        <v>43.275239678252774</v>
      </c>
      <c r="S26" s="42">
        <f t="shared" si="7"/>
        <v>-999</v>
      </c>
      <c r="T26" s="42">
        <f t="shared" si="8"/>
        <v>-999</v>
      </c>
      <c r="U26" s="42">
        <f t="shared" si="9"/>
        <v>-999</v>
      </c>
      <c r="V26" s="109">
        <f t="shared" si="10"/>
        <v>-999</v>
      </c>
      <c r="W26" s="120">
        <f>IF(AND($A26&gt;='Auswertung 3-Schicht'!D$3,$A26&lt;='Auswertung 3-Schicht'!D$4),Berechnung!C25,"")</f>
        <v>7.3902755994971532</v>
      </c>
      <c r="X26" s="118" t="str">
        <f>IF(AND($A26&gt;='Auswertung 3-Schicht'!E$3,$A26&lt;='Auswertung 3-Schicht'!E$4),Berechnung!D25,"")</f>
        <v/>
      </c>
      <c r="Y26" s="118" t="str">
        <f>IF(AND($A26&gt;='Auswertung 3-Schicht'!F$3,$A26&lt;='Auswertung 3-Schicht'!F$4),Berechnung!E25,"")</f>
        <v/>
      </c>
      <c r="Z26" s="132" t="str">
        <f>IF(AND($A26&gt;='Auswertung 3-Schicht'!G$3,$A26&lt;='Auswertung 3-Schicht'!G$4),Berechnung!F25,"")</f>
        <v/>
      </c>
      <c r="AA26" s="118" t="str">
        <f>IF(AND($A26&gt;='Auswertung 3-Schicht'!H$3,$A26&lt;='Auswertung 3-Schicht'!H$4),Berechnung!K25,"")</f>
        <v/>
      </c>
      <c r="AB26" s="134" t="str">
        <f>IF(AND($A26&gt;='Auswertung 3-Schicht'!I$3,$A26&lt;='Auswertung 3-Schicht'!I$4),Berechnung!L25,"")</f>
        <v/>
      </c>
      <c r="AC26" s="118" t="str">
        <f>IF(AND($A26&gt;='Auswertung 3-Schicht'!J$3,$A26&lt;='Auswertung 3-Schicht'!J$4),Berechnung!P25,"")</f>
        <v/>
      </c>
      <c r="AD26" s="121" t="str">
        <f>IF(AND($A26&gt;='Auswertung 3-Schicht'!K$3,$A26&lt;='Auswertung 3-Schicht'!K$4),Berechnung!Q25,"")</f>
        <v/>
      </c>
      <c r="AE26" s="136" t="str">
        <f>IF(AND($A26&gt;='Auswertung 3-Schicht'!D$6,$A26&lt;='Auswertung 3-Schicht'!D$7),Berechnung!C25,"")</f>
        <v/>
      </c>
      <c r="AF26" s="118" t="str">
        <f>IF(AND($A26&gt;='Auswertung 3-Schicht'!E$6,$A26&lt;='Auswertung 3-Schicht'!E$7),Berechnung!D25,"")</f>
        <v/>
      </c>
      <c r="AG26" s="118" t="str">
        <f>IF(AND($A26&gt;='Auswertung 3-Schicht'!F$6,$A26&lt;='Auswertung 3-Schicht'!F$7),Berechnung!E25,"")</f>
        <v/>
      </c>
      <c r="AH26" s="118" t="str">
        <f>IF(AND($A26&gt;='Auswertung 3-Schicht'!G$6,$A26&lt;='Auswertung 3-Schicht'!G$7),Berechnung!F25,"")</f>
        <v/>
      </c>
      <c r="AI26" s="118" t="str">
        <f>IF(AND($A26&gt;='Auswertung 3-Schicht'!H$6,$A26&lt;='Auswertung 3-Schicht'!H$7),Berechnung!K25,"")</f>
        <v/>
      </c>
      <c r="AJ26" s="118" t="str">
        <f>IF(AND($A26&gt;='Auswertung 3-Schicht'!I$6,$A26&lt;='Auswertung 3-Schicht'!I$7),Berechnung!L25,"")</f>
        <v/>
      </c>
      <c r="AK26" s="118" t="str">
        <f>IF(AND($A26&gt;='Auswertung 3-Schicht'!J$6,$A26&lt;='Auswertung 3-Schicht'!J$7),Berechnung!P25,"")</f>
        <v/>
      </c>
      <c r="AL26" s="118" t="str">
        <f>IF(AND($A26&gt;='Auswertung 3-Schicht'!K$6,$A26&lt;='Auswertung 3-Schicht'!K$7),Berechnung!Q25,"")</f>
        <v/>
      </c>
      <c r="AM26" s="120" t="str">
        <f>IF(AND($A26&gt;='Auswertung 3-Schicht'!D$10,$A26&lt;='Auswertung 3-Schicht'!D$11),Berechnung!C25,"")</f>
        <v/>
      </c>
      <c r="AN26" s="118" t="str">
        <f>IF(AND($A26&gt;='Auswertung 3-Schicht'!E$10,$A26&lt;='Auswertung 3-Schicht'!E$11),Berechnung!D25,"")</f>
        <v/>
      </c>
      <c r="AO26" s="118">
        <f>IF(AND($A26&gt;='Auswertung 3-Schicht'!F$10,$A26&lt;='Auswertung 3-Schicht'!F$11),Berechnung!E25,"")</f>
        <v>73.493346686116709</v>
      </c>
      <c r="AP26" s="118">
        <f>IF(AND($A26&gt;='Auswertung 3-Schicht'!G$10,$A26&lt;='Auswertung 3-Schicht'!G$11),Berechnung!F25,"")</f>
        <v>70.986458975707805</v>
      </c>
      <c r="AQ26" s="118" t="str">
        <f>IF(AND($A26&gt;='Auswertung 3-Schicht'!H$10,$A26&lt;='Auswertung 3-Schicht'!H$11),Berechnung!K25,"")</f>
        <v/>
      </c>
      <c r="AR26" s="118" t="str">
        <f>IF(AND($A26&gt;='Auswertung 3-Schicht'!I$10,$A26&lt;='Auswertung 3-Schicht'!I$11),Berechnung!L25,"")</f>
        <v/>
      </c>
      <c r="AS26" s="118" t="str">
        <f>IF(AND($A26&gt;='Auswertung 3-Schicht'!J$10,$A26&lt;='Auswertung 3-Schicht'!J$11),Berechnung!P25,"")</f>
        <v/>
      </c>
      <c r="AT26" s="118" t="str">
        <f>IF(AND($A26&gt;='Auswertung 3-Schicht'!K$10,$A26&lt;='Auswertung 3-Schicht'!K$11),Berechnung!Q25,"")</f>
        <v/>
      </c>
      <c r="AU26" s="82">
        <f t="shared" si="11"/>
        <v>7.3902755994971532</v>
      </c>
      <c r="AV26" s="42">
        <f t="shared" si="12"/>
        <v>-999</v>
      </c>
      <c r="AW26" s="79">
        <f t="shared" si="13"/>
        <v>-999</v>
      </c>
      <c r="AX26" s="79">
        <f t="shared" si="14"/>
        <v>-999</v>
      </c>
      <c r="AY26" s="79">
        <f t="shared" si="15"/>
        <v>-999</v>
      </c>
      <c r="AZ26" s="42">
        <f t="shared" si="16"/>
        <v>-999</v>
      </c>
      <c r="BA26" s="83">
        <f t="shared" si="17"/>
        <v>-999</v>
      </c>
      <c r="BB26" s="80">
        <f t="shared" si="18"/>
        <v>-999</v>
      </c>
      <c r="BC26" s="42">
        <f t="shared" si="19"/>
        <v>-999</v>
      </c>
      <c r="BD26" s="42">
        <f t="shared" si="20"/>
        <v>-999</v>
      </c>
      <c r="BE26" s="42">
        <f t="shared" si="21"/>
        <v>-999</v>
      </c>
      <c r="BF26" s="42">
        <f t="shared" si="22"/>
        <v>-999</v>
      </c>
      <c r="BG26" s="42">
        <f t="shared" si="23"/>
        <v>-999</v>
      </c>
      <c r="BH26" s="83">
        <f t="shared" si="24"/>
        <v>-999</v>
      </c>
      <c r="BI26" s="82">
        <f t="shared" si="25"/>
        <v>-999</v>
      </c>
      <c r="BJ26" s="42">
        <f t="shared" si="26"/>
        <v>73.493346686116709</v>
      </c>
      <c r="BK26" s="42">
        <f t="shared" si="27"/>
        <v>70.986458975707805</v>
      </c>
      <c r="BL26" s="42">
        <f t="shared" si="28"/>
        <v>-999</v>
      </c>
      <c r="BM26" s="42">
        <f t="shared" si="29"/>
        <v>-999</v>
      </c>
      <c r="BN26" s="42">
        <f t="shared" si="30"/>
        <v>-999</v>
      </c>
      <c r="BO26" s="83">
        <f t="shared" si="31"/>
        <v>-999</v>
      </c>
      <c r="BP26" s="80">
        <f>IF('Auswertung 2-Schicht'!O$4="",-999,MIN(1000*SQRT((A26+1)^2+AVERAGE(T0_Korrektur!D$1,T0_Korrektur!F$1,T0_Korrektur!H$1)^2)/'Auswertung 2-Schicht'!$O$4,'Auswertung 2-Schicht'!$O$8+1000*SQRT((A26+1)^2+AVERAGE(T0_Korrektur!D$1,T0_Korrektur!F$1,T0_Korrektur!H$1)^2)/'Auswertung 2-Schicht'!$O$7))</f>
        <v>73.643609437287324</v>
      </c>
      <c r="BQ26" s="83">
        <f>IF('Auswertung 3-Schicht'!N$4="",-999,IF('Auswertung 3-Schicht'!N$8="",MIN(1000*SQRT((A26+1)^2+AVERAGE(T0_Korrektur!D$1,T0_Korrektur!F$1,T0_Korrektur!H$1)^2)/'Auswertung 3-Schicht'!N$4,'Auswertung 3-Schicht'!N$6+1000*SQRT((A26+1)^2+AVERAGE(T0_Korrektur!D$1,T0_Korrektur!F$1,T0_Korrektur!H$1)^2)/'Auswertung 3-Schicht'!N$5),MIN(1000*SQRT((A26+1)^2+AVERAGE(T0_Korrektur!D$1,T0_Korrektur!F$1,T0_Korrektur!H$1)^2)/'Auswertung 3-Schicht'!N$4,'Auswertung 3-Schicht'!N$6+1000*SQRT((A26+1)^2+AVERAGE(T0_Korrektur!D$1,T0_Korrektur!F$1,T0_Korrektur!H$1)^2)/'Auswertung 3-Schicht'!N$5,'Auswertung 3-Schicht'!N$9+1000*SQRT((A26+1)^2+AVERAGE(T0_Korrektur!D$1,T0_Korrektur!F$1,T0_Korrektur!H$1)^2)/'Auswertung 3-Schicht'!N$8)))</f>
        <v>69.985839901721732</v>
      </c>
      <c r="BR26" s="82">
        <f>ABS(T0_Korrektur!C25)</f>
        <v>4.1173413752080359</v>
      </c>
      <c r="BS26" s="42">
        <f>ABS(T0_Korrektur!E25)</f>
        <v>102.51248704426207</v>
      </c>
      <c r="BT26" s="42">
        <f>ABS(T0_Korrektur!I25)</f>
        <v>999</v>
      </c>
      <c r="BU26" s="79">
        <f>ABS(T0_Korrektur!M25)</f>
        <v>999</v>
      </c>
      <c r="BV26" s="120">
        <f>IF(T0_Korrektur!H25="","",T0_Korrektur!H25-Hilfsdaten!BP26)</f>
        <v>-2.6444094372873224</v>
      </c>
      <c r="BW26" s="118">
        <f>IF(T0_Korrektur!D49="","",T0_Korrektur!D49-Hilfsdaten!BP26)</f>
        <v>-3.3864094372873268</v>
      </c>
      <c r="BX26" s="118">
        <f>IF(T0_Korrektur!D4="","",T0_Korrektur!D4-Hilfsdaten!BP26)</f>
        <v>-4.8173094372873209</v>
      </c>
      <c r="BY26" s="118">
        <f>IF(T0_Korrektur!F34="","",T0_Korrektur!F34-Hilfsdaten!BP26)</f>
        <v>-11.971909437287323</v>
      </c>
      <c r="BZ26" s="120">
        <f>IF(T0_Korrektur!H25="","",T0_Korrektur!H25-Hilfsdaten!BQ26)</f>
        <v>1.0133600982782696</v>
      </c>
      <c r="CA26" s="118">
        <f>IF(T0_Korrektur!D49="","",T0_Korrektur!D49-Hilfsdaten!BQ26)</f>
        <v>0.27136009827826513</v>
      </c>
      <c r="CB26" s="118">
        <f>IF(T0_Korrektur!D4="","",T0_Korrektur!D4-Hilfsdaten!BQ26)</f>
        <v>-1.1595399017217289</v>
      </c>
      <c r="CC26" s="121">
        <f>IF(T0_Korrektur!F34="","",T0_Korrektur!F34-Hilfsdaten!BQ26)</f>
        <v>-8.314139901721731</v>
      </c>
      <c r="CD26" s="115"/>
    </row>
    <row r="27" spans="1:82" x14ac:dyDescent="0.2">
      <c r="A27" s="130">
        <f>'Picks importieren'!B27</f>
        <v>95</v>
      </c>
      <c r="B27" s="120">
        <f>IF(AND($A27&gt;='Auswertung 2-Schicht'!C$3,$A27&lt;='Auswertung 2-Schicht'!C$4),Berechnung!C26,"")</f>
        <v>1.9004951954129641</v>
      </c>
      <c r="C27" s="118" t="str">
        <f>IF(AND($A27&gt;='Auswertung 2-Schicht'!D$3,$A27&lt;='Auswertung 2-Schicht'!D$4),Berechnung!D26,"")</f>
        <v/>
      </c>
      <c r="D27" s="118" t="str">
        <f>IF(AND($A27&gt;='Auswertung 2-Schicht'!E$3,$A27&lt;='Auswertung 2-Schicht'!E$4),Berechnung!G26,"")</f>
        <v/>
      </c>
      <c r="E27" s="121" t="str">
        <f>IF(AND($A27&gt;='Auswertung 2-Schicht'!F$3,$A27&lt;='Auswertung 2-Schicht'!F$4),Berechnung!F26,"")</f>
        <v/>
      </c>
      <c r="F27" s="131">
        <f>IF(AND($A27&gt;='Auswertung 2-Schicht'!H$3,$A27&lt;='Auswertung 2-Schicht'!H$4),IF('Auswertung 2-Schicht'!$H$8=1,Berechnung!I26,IF('Auswertung 2-Schicht'!$H$8=2,Berechnung!N26,Berechnung!S26)),"")</f>
        <v>93.141989009595008</v>
      </c>
      <c r="G27" s="118">
        <f>IF(AND($A27&gt;='Auswertung 2-Schicht'!H$3,$A27&lt;='Auswertung 2-Schicht'!H$4),IF('Auswertung 2-Schicht'!$H$8=1,Berechnung!J26,IF('Auswertung 2-Schicht'!$H$8=2,Berechnung!O26,Berechnung!T26)),"")</f>
        <v>42.637102194373313</v>
      </c>
      <c r="H27" s="118" t="str">
        <f>IF(AND($A27&gt;='Auswertung 2-Schicht'!I$3,$A27&lt;='Auswertung 2-Schicht'!I$4),Berechnung!K26,"")</f>
        <v/>
      </c>
      <c r="I27" s="132" t="str">
        <f>IF(AND($A27&gt;='Auswertung 2-Schicht'!J$3,$A27&lt;='Auswertung 2-Schicht'!J$4),Berechnung!L26,"")</f>
        <v/>
      </c>
      <c r="J27" s="118" t="str">
        <f>IF(AND($A27&gt;='Auswertung 2-Schicht'!K$3,$A27&lt;='Auswertung 2-Schicht'!K$4),Berechnung!P26,"")</f>
        <v/>
      </c>
      <c r="K27" s="134" t="str">
        <f>IF(AND($A27&gt;='Auswertung 2-Schicht'!L$3,$A27&lt;='Auswertung 2-Schicht'!L$4),Berechnung!Q26,"")</f>
        <v/>
      </c>
      <c r="L27" s="131">
        <f>IF('Auswertung 2-Schicht'!$H$8=1,Berechnung!I26,IF('Auswertung 2-Schicht'!$H$8=2,Berechnung!N26,Berechnung!S26))</f>
        <v>93.141989009595008</v>
      </c>
      <c r="M27" s="133">
        <f>IF('Auswertung 2-Schicht'!$H$8=1,Berechnung!J26,IF('Auswertung 2-Schicht'!$H$8=2,Berechnung!O26,Berechnung!T26))</f>
        <v>42.637102194373313</v>
      </c>
      <c r="N27" s="82">
        <f t="shared" si="4"/>
        <v>1.9004951954129641</v>
      </c>
      <c r="O27" s="42">
        <f t="shared" si="32"/>
        <v>-999</v>
      </c>
      <c r="P27" s="83">
        <f t="shared" si="33"/>
        <v>-999</v>
      </c>
      <c r="Q27" s="82">
        <f t="shared" si="5"/>
        <v>93.141989009595008</v>
      </c>
      <c r="R27" s="42">
        <f t="shared" si="6"/>
        <v>42.637102194373313</v>
      </c>
      <c r="S27" s="42">
        <f t="shared" si="7"/>
        <v>-999</v>
      </c>
      <c r="T27" s="42">
        <f t="shared" si="8"/>
        <v>-999</v>
      </c>
      <c r="U27" s="42">
        <f t="shared" si="9"/>
        <v>-999</v>
      </c>
      <c r="V27" s="109">
        <f t="shared" si="10"/>
        <v>-999</v>
      </c>
      <c r="W27" s="120">
        <f>IF(AND($A27&gt;='Auswertung 3-Schicht'!D$3,$A27&lt;='Auswertung 3-Schicht'!D$4),Berechnung!C26,"")</f>
        <v>1.9004951954129641</v>
      </c>
      <c r="X27" s="118" t="str">
        <f>IF(AND($A27&gt;='Auswertung 3-Schicht'!E$3,$A27&lt;='Auswertung 3-Schicht'!E$4),Berechnung!D26,"")</f>
        <v/>
      </c>
      <c r="Y27" s="118" t="str">
        <f>IF(AND($A27&gt;='Auswertung 3-Schicht'!F$3,$A27&lt;='Auswertung 3-Schicht'!F$4),Berechnung!E26,"")</f>
        <v/>
      </c>
      <c r="Z27" s="132" t="str">
        <f>IF(AND($A27&gt;='Auswertung 3-Schicht'!G$3,$A27&lt;='Auswertung 3-Schicht'!G$4),Berechnung!F26,"")</f>
        <v/>
      </c>
      <c r="AA27" s="118" t="str">
        <f>IF(AND($A27&gt;='Auswertung 3-Schicht'!H$3,$A27&lt;='Auswertung 3-Schicht'!H$4),Berechnung!K26,"")</f>
        <v/>
      </c>
      <c r="AB27" s="134" t="str">
        <f>IF(AND($A27&gt;='Auswertung 3-Schicht'!I$3,$A27&lt;='Auswertung 3-Schicht'!I$4),Berechnung!L26,"")</f>
        <v/>
      </c>
      <c r="AC27" s="118" t="str">
        <f>IF(AND($A27&gt;='Auswertung 3-Schicht'!J$3,$A27&lt;='Auswertung 3-Schicht'!J$4),Berechnung!P26,"")</f>
        <v/>
      </c>
      <c r="AD27" s="121" t="str">
        <f>IF(AND($A27&gt;='Auswertung 3-Schicht'!K$3,$A27&lt;='Auswertung 3-Schicht'!K$4),Berechnung!Q26,"")</f>
        <v/>
      </c>
      <c r="AE27" s="136" t="str">
        <f>IF(AND($A27&gt;='Auswertung 3-Schicht'!D$6,$A27&lt;='Auswertung 3-Schicht'!D$7),Berechnung!C26,"")</f>
        <v/>
      </c>
      <c r="AF27" s="118" t="str">
        <f>IF(AND($A27&gt;='Auswertung 3-Schicht'!E$6,$A27&lt;='Auswertung 3-Schicht'!E$7),Berechnung!D26,"")</f>
        <v/>
      </c>
      <c r="AG27" s="118" t="str">
        <f>IF(AND($A27&gt;='Auswertung 3-Schicht'!F$6,$A27&lt;='Auswertung 3-Schicht'!F$7),Berechnung!E26,"")</f>
        <v/>
      </c>
      <c r="AH27" s="118" t="str">
        <f>IF(AND($A27&gt;='Auswertung 3-Schicht'!G$6,$A27&lt;='Auswertung 3-Schicht'!G$7),Berechnung!F26,"")</f>
        <v/>
      </c>
      <c r="AI27" s="118" t="str">
        <f>IF(AND($A27&gt;='Auswertung 3-Schicht'!H$6,$A27&lt;='Auswertung 3-Schicht'!H$7),Berechnung!K26,"")</f>
        <v/>
      </c>
      <c r="AJ27" s="118" t="str">
        <f>IF(AND($A27&gt;='Auswertung 3-Schicht'!I$6,$A27&lt;='Auswertung 3-Schicht'!I$7),Berechnung!L26,"")</f>
        <v/>
      </c>
      <c r="AK27" s="118" t="str">
        <f>IF(AND($A27&gt;='Auswertung 3-Schicht'!J$6,$A27&lt;='Auswertung 3-Schicht'!J$7),Berechnung!P26,"")</f>
        <v/>
      </c>
      <c r="AL27" s="118" t="str">
        <f>IF(AND($A27&gt;='Auswertung 3-Schicht'!K$6,$A27&lt;='Auswertung 3-Schicht'!K$7),Berechnung!Q26,"")</f>
        <v/>
      </c>
      <c r="AM27" s="120" t="str">
        <f>IF(AND($A27&gt;='Auswertung 3-Schicht'!D$10,$A27&lt;='Auswertung 3-Schicht'!D$11),Berechnung!C26,"")</f>
        <v/>
      </c>
      <c r="AN27" s="118" t="str">
        <f>IF(AND($A27&gt;='Auswertung 3-Schicht'!E$10,$A27&lt;='Auswertung 3-Schicht'!E$11),Berechnung!D26,"")</f>
        <v/>
      </c>
      <c r="AO27" s="118">
        <f>IF(AND($A27&gt;='Auswertung 3-Schicht'!F$10,$A27&lt;='Auswertung 3-Schicht'!F$11),Berechnung!E26,"")</f>
        <v>72.598607972831161</v>
      </c>
      <c r="AP27" s="118">
        <f>IF(AND($A27&gt;='Auswertung 3-Schicht'!G$10,$A27&lt;='Auswertung 3-Schicht'!G$11),Berechnung!F26,"")</f>
        <v>71.243060205113892</v>
      </c>
      <c r="AQ27" s="118" t="str">
        <f>IF(AND($A27&gt;='Auswertung 3-Schicht'!H$10,$A27&lt;='Auswertung 3-Schicht'!H$11),Berechnung!K26,"")</f>
        <v/>
      </c>
      <c r="AR27" s="118" t="str">
        <f>IF(AND($A27&gt;='Auswertung 3-Schicht'!I$10,$A27&lt;='Auswertung 3-Schicht'!I$11),Berechnung!L26,"")</f>
        <v/>
      </c>
      <c r="AS27" s="118" t="str">
        <f>IF(AND($A27&gt;='Auswertung 3-Schicht'!J$10,$A27&lt;='Auswertung 3-Schicht'!J$11),Berechnung!P26,"")</f>
        <v/>
      </c>
      <c r="AT27" s="118" t="str">
        <f>IF(AND($A27&gt;='Auswertung 3-Schicht'!K$10,$A27&lt;='Auswertung 3-Schicht'!K$11),Berechnung!Q26,"")</f>
        <v/>
      </c>
      <c r="AU27" s="82">
        <f t="shared" si="11"/>
        <v>1.9004951954129641</v>
      </c>
      <c r="AV27" s="42">
        <f t="shared" si="12"/>
        <v>-999</v>
      </c>
      <c r="AW27" s="79">
        <f t="shared" si="13"/>
        <v>-999</v>
      </c>
      <c r="AX27" s="79">
        <f t="shared" si="14"/>
        <v>-999</v>
      </c>
      <c r="AY27" s="79">
        <f t="shared" si="15"/>
        <v>-999</v>
      </c>
      <c r="AZ27" s="42">
        <f t="shared" si="16"/>
        <v>-999</v>
      </c>
      <c r="BA27" s="83">
        <f t="shared" si="17"/>
        <v>-999</v>
      </c>
      <c r="BB27" s="80">
        <f t="shared" si="18"/>
        <v>-999</v>
      </c>
      <c r="BC27" s="42">
        <f t="shared" si="19"/>
        <v>-999</v>
      </c>
      <c r="BD27" s="42">
        <f t="shared" si="20"/>
        <v>-999</v>
      </c>
      <c r="BE27" s="42">
        <f t="shared" si="21"/>
        <v>-999</v>
      </c>
      <c r="BF27" s="42">
        <f t="shared" si="22"/>
        <v>-999</v>
      </c>
      <c r="BG27" s="42">
        <f t="shared" si="23"/>
        <v>-999</v>
      </c>
      <c r="BH27" s="83">
        <f t="shared" si="24"/>
        <v>-999</v>
      </c>
      <c r="BI27" s="82">
        <f t="shared" si="25"/>
        <v>-999</v>
      </c>
      <c r="BJ27" s="42">
        <f t="shared" si="26"/>
        <v>72.598607972831161</v>
      </c>
      <c r="BK27" s="42">
        <f t="shared" si="27"/>
        <v>71.243060205113892</v>
      </c>
      <c r="BL27" s="42">
        <f t="shared" si="28"/>
        <v>-999</v>
      </c>
      <c r="BM27" s="42">
        <f t="shared" si="29"/>
        <v>-999</v>
      </c>
      <c r="BN27" s="42">
        <f t="shared" si="30"/>
        <v>-999</v>
      </c>
      <c r="BO27" s="83">
        <f t="shared" si="31"/>
        <v>-999</v>
      </c>
      <c r="BP27" s="80">
        <f>IF('Auswertung 2-Schicht'!O$4="",-999,MIN(1000*SQRT((A27+1)^2+AVERAGE(T0_Korrektur!D$1,T0_Korrektur!F$1,T0_Korrektur!H$1)^2)/'Auswertung 2-Schicht'!$O$4,'Auswertung 2-Schicht'!$O$8+1000*SQRT((A27+1)^2+AVERAGE(T0_Korrektur!D$1,T0_Korrektur!F$1,T0_Korrektur!H$1)^2)/'Auswertung 2-Schicht'!$O$7))</f>
        <v>74.619985053985999</v>
      </c>
      <c r="BQ27" s="83">
        <f>IF('Auswertung 3-Schicht'!N$4="",-999,IF('Auswertung 3-Schicht'!N$8="",MIN(1000*SQRT((A27+1)^2+AVERAGE(T0_Korrektur!D$1,T0_Korrektur!F$1,T0_Korrektur!H$1)^2)/'Auswertung 3-Schicht'!N$4,'Auswertung 3-Schicht'!N$6+1000*SQRT((A27+1)^2+AVERAGE(T0_Korrektur!D$1,T0_Korrektur!F$1,T0_Korrektur!H$1)^2)/'Auswertung 3-Schicht'!N$5),MIN(1000*SQRT((A27+1)^2+AVERAGE(T0_Korrektur!D$1,T0_Korrektur!F$1,T0_Korrektur!H$1)^2)/'Auswertung 3-Schicht'!N$4,'Auswertung 3-Schicht'!N$6+1000*SQRT((A27+1)^2+AVERAGE(T0_Korrektur!D$1,T0_Korrektur!F$1,T0_Korrektur!H$1)^2)/'Auswertung 3-Schicht'!N$5,'Auswertung 3-Schicht'!N$9+1000*SQRT((A27+1)^2+AVERAGE(T0_Korrektur!D$1,T0_Korrektur!F$1,T0_Korrektur!H$1)^2)/'Auswertung 3-Schicht'!N$8)))</f>
        <v>70.750711302681168</v>
      </c>
      <c r="BR27" s="82">
        <f>ABS(T0_Korrektur!C26)</f>
        <v>2.110094784600919</v>
      </c>
      <c r="BS27" s="42">
        <f>ABS(T0_Korrektur!E26)</f>
        <v>100.01279918090484</v>
      </c>
      <c r="BT27" s="42">
        <f>ABS(T0_Korrektur!I26)</f>
        <v>999</v>
      </c>
      <c r="BU27" s="79">
        <f>ABS(T0_Korrektur!M26)</f>
        <v>999</v>
      </c>
      <c r="BV27" s="120">
        <f>IF(T0_Korrektur!H26="","",T0_Korrektur!H26-Hilfsdaten!BP27)</f>
        <v>-3.3647850539859974</v>
      </c>
      <c r="BW27" s="118">
        <f>IF(T0_Korrektur!D50="","",T0_Korrektur!D50-Hilfsdaten!BP27)</f>
        <v>-3.9538850539859993</v>
      </c>
      <c r="BX27" s="118">
        <f>IF(T0_Korrektur!D3="","",T0_Korrektur!D3-Hilfsdaten!BP27)</f>
        <v>-5.1804850539860041</v>
      </c>
      <c r="BY27" s="118">
        <f>IF(T0_Korrektur!F33="","",T0_Korrektur!F33-Hilfsdaten!BP27)</f>
        <v>-10.699685053986002</v>
      </c>
      <c r="BZ27" s="120">
        <f>IF(T0_Korrektur!H26="","",T0_Korrektur!H26-Hilfsdaten!BQ27)</f>
        <v>0.50448869731883406</v>
      </c>
      <c r="CA27" s="118">
        <f>IF(T0_Korrektur!D50="","",T0_Korrektur!D50-Hilfsdaten!BQ27)</f>
        <v>-8.4611302681167899E-2</v>
      </c>
      <c r="CB27" s="118">
        <f>IF(T0_Korrektur!D3="","",T0_Korrektur!D3-Hilfsdaten!BQ27)</f>
        <v>-1.3112113026811727</v>
      </c>
      <c r="CC27" s="121">
        <f>IF(T0_Korrektur!F33="","",T0_Korrektur!F33-Hilfsdaten!BQ27)</f>
        <v>-6.8304113026811706</v>
      </c>
      <c r="CD27" s="115"/>
    </row>
    <row r="28" spans="1:82" x14ac:dyDescent="0.2">
      <c r="A28" s="130">
        <f>'Picks importieren'!B28</f>
        <v>97.5</v>
      </c>
      <c r="B28" s="120" t="str">
        <f>IF(AND($A28&gt;='Auswertung 2-Schicht'!C$3,$A28&lt;='Auswertung 2-Schicht'!C$4),Berechnung!C27,"")</f>
        <v/>
      </c>
      <c r="C28" s="118">
        <f>IF(AND($A28&gt;='Auswertung 2-Schicht'!D$3,$A28&lt;='Auswertung 2-Schicht'!D$4),Berechnung!D27,"")</f>
        <v>2.3848810189594212</v>
      </c>
      <c r="D28" s="118" t="str">
        <f>IF(AND($A28&gt;='Auswertung 2-Schicht'!E$3,$A28&lt;='Auswertung 2-Schicht'!E$4),Berechnung!G27,"")</f>
        <v/>
      </c>
      <c r="E28" s="121" t="str">
        <f>IF(AND($A28&gt;='Auswertung 2-Schicht'!F$3,$A28&lt;='Auswertung 2-Schicht'!F$4),Berechnung!F27,"")</f>
        <v/>
      </c>
      <c r="F28" s="131">
        <f>IF(AND($A28&gt;='Auswertung 2-Schicht'!H$3,$A28&lt;='Auswertung 2-Schicht'!H$4),IF('Auswertung 2-Schicht'!$H$8=1,Berechnung!I27,IF('Auswertung 2-Schicht'!$H$8=2,Berechnung!N27,Berechnung!S27)),"")</f>
        <v>95.061384504363971</v>
      </c>
      <c r="G28" s="118">
        <f>IF(AND($A28&gt;='Auswertung 2-Schicht'!H$3,$A28&lt;='Auswertung 2-Schicht'!H$4),IF('Auswertung 2-Schicht'!$H$8=1,Berechnung!J27,IF('Auswertung 2-Schicht'!$H$8=2,Berechnung!O27,Berechnung!T27)),"")</f>
        <v>42.767173420550108</v>
      </c>
      <c r="H28" s="118" t="str">
        <f>IF(AND($A28&gt;='Auswertung 2-Schicht'!I$3,$A28&lt;='Auswertung 2-Schicht'!I$4),Berechnung!K27,"")</f>
        <v/>
      </c>
      <c r="I28" s="132" t="str">
        <f>IF(AND($A28&gt;='Auswertung 2-Schicht'!J$3,$A28&lt;='Auswertung 2-Schicht'!J$4),Berechnung!L27,"")</f>
        <v/>
      </c>
      <c r="J28" s="118" t="str">
        <f>IF(AND($A28&gt;='Auswertung 2-Schicht'!K$3,$A28&lt;='Auswertung 2-Schicht'!K$4),Berechnung!P27,"")</f>
        <v/>
      </c>
      <c r="K28" s="134" t="str">
        <f>IF(AND($A28&gt;='Auswertung 2-Schicht'!L$3,$A28&lt;='Auswertung 2-Schicht'!L$4),Berechnung!Q27,"")</f>
        <v/>
      </c>
      <c r="L28" s="131">
        <f>IF('Auswertung 2-Schicht'!$H$8=1,Berechnung!I27,IF('Auswertung 2-Schicht'!$H$8=2,Berechnung!N27,Berechnung!S27))</f>
        <v>95.061384504363971</v>
      </c>
      <c r="M28" s="133">
        <f>IF('Auswertung 2-Schicht'!$H$8=1,Berechnung!J27,IF('Auswertung 2-Schicht'!$H$8=2,Berechnung!O27,Berechnung!T27))</f>
        <v>42.767173420550108</v>
      </c>
      <c r="N28" s="82">
        <f t="shared" si="4"/>
        <v>2.3848810189594212</v>
      </c>
      <c r="O28" s="42">
        <f t="shared" si="32"/>
        <v>-999</v>
      </c>
      <c r="P28" s="83">
        <f t="shared" si="33"/>
        <v>-999</v>
      </c>
      <c r="Q28" s="82">
        <f t="shared" si="5"/>
        <v>95.061384504363971</v>
      </c>
      <c r="R28" s="42">
        <f t="shared" si="6"/>
        <v>42.767173420550108</v>
      </c>
      <c r="S28" s="42">
        <f t="shared" si="7"/>
        <v>-999</v>
      </c>
      <c r="T28" s="42">
        <f t="shared" si="8"/>
        <v>-999</v>
      </c>
      <c r="U28" s="42">
        <f t="shared" si="9"/>
        <v>-999</v>
      </c>
      <c r="V28" s="109">
        <f t="shared" si="10"/>
        <v>-999</v>
      </c>
      <c r="W28" s="120" t="str">
        <f>IF(AND($A28&gt;='Auswertung 3-Schicht'!D$3,$A28&lt;='Auswertung 3-Schicht'!D$4),Berechnung!C27,"")</f>
        <v/>
      </c>
      <c r="X28" s="118">
        <f>IF(AND($A28&gt;='Auswertung 3-Schicht'!E$3,$A28&lt;='Auswertung 3-Schicht'!E$4),Berechnung!D27,"")</f>
        <v>2.3848810189594212</v>
      </c>
      <c r="Y28" s="118" t="str">
        <f>IF(AND($A28&gt;='Auswertung 3-Schicht'!F$3,$A28&lt;='Auswertung 3-Schicht'!F$4),Berechnung!E27,"")</f>
        <v/>
      </c>
      <c r="Z28" s="132" t="str">
        <f>IF(AND($A28&gt;='Auswertung 3-Schicht'!G$3,$A28&lt;='Auswertung 3-Schicht'!G$4),Berechnung!F27,"")</f>
        <v/>
      </c>
      <c r="AA28" s="118" t="str">
        <f>IF(AND($A28&gt;='Auswertung 3-Schicht'!H$3,$A28&lt;='Auswertung 3-Schicht'!H$4),Berechnung!K27,"")</f>
        <v/>
      </c>
      <c r="AB28" s="134" t="str">
        <f>IF(AND($A28&gt;='Auswertung 3-Schicht'!I$3,$A28&lt;='Auswertung 3-Schicht'!I$4),Berechnung!L27,"")</f>
        <v/>
      </c>
      <c r="AC28" s="118" t="str">
        <f>IF(AND($A28&gt;='Auswertung 3-Schicht'!J$3,$A28&lt;='Auswertung 3-Schicht'!J$4),Berechnung!P27,"")</f>
        <v/>
      </c>
      <c r="AD28" s="121" t="str">
        <f>IF(AND($A28&gt;='Auswertung 3-Schicht'!K$3,$A28&lt;='Auswertung 3-Schicht'!K$4),Berechnung!Q27,"")</f>
        <v/>
      </c>
      <c r="AE28" s="136" t="str">
        <f>IF(AND($A28&gt;='Auswertung 3-Schicht'!D$6,$A28&lt;='Auswertung 3-Schicht'!D$7),Berechnung!C27,"")</f>
        <v/>
      </c>
      <c r="AF28" s="118" t="str">
        <f>IF(AND($A28&gt;='Auswertung 3-Schicht'!E$6,$A28&lt;='Auswertung 3-Schicht'!E$7),Berechnung!D27,"")</f>
        <v/>
      </c>
      <c r="AG28" s="118" t="str">
        <f>IF(AND($A28&gt;='Auswertung 3-Schicht'!F$6,$A28&lt;='Auswertung 3-Schicht'!F$7),Berechnung!E27,"")</f>
        <v/>
      </c>
      <c r="AH28" s="118" t="str">
        <f>IF(AND($A28&gt;='Auswertung 3-Schicht'!G$6,$A28&lt;='Auswertung 3-Schicht'!G$7),Berechnung!F27,"")</f>
        <v/>
      </c>
      <c r="AI28" s="118" t="str">
        <f>IF(AND($A28&gt;='Auswertung 3-Schicht'!H$6,$A28&lt;='Auswertung 3-Schicht'!H$7),Berechnung!K27,"")</f>
        <v/>
      </c>
      <c r="AJ28" s="118" t="str">
        <f>IF(AND($A28&gt;='Auswertung 3-Schicht'!I$6,$A28&lt;='Auswertung 3-Schicht'!I$7),Berechnung!L27,"")</f>
        <v/>
      </c>
      <c r="AK28" s="118" t="str">
        <f>IF(AND($A28&gt;='Auswertung 3-Schicht'!J$6,$A28&lt;='Auswertung 3-Schicht'!J$7),Berechnung!P27,"")</f>
        <v/>
      </c>
      <c r="AL28" s="118" t="str">
        <f>IF(AND($A28&gt;='Auswertung 3-Schicht'!K$6,$A28&lt;='Auswertung 3-Schicht'!K$7),Berechnung!Q27,"")</f>
        <v/>
      </c>
      <c r="AM28" s="120" t="str">
        <f>IF(AND($A28&gt;='Auswertung 3-Schicht'!D$10,$A28&lt;='Auswertung 3-Schicht'!D$11),Berechnung!C27,"")</f>
        <v/>
      </c>
      <c r="AN28" s="118" t="str">
        <f>IF(AND($A28&gt;='Auswertung 3-Schicht'!E$10,$A28&lt;='Auswertung 3-Schicht'!E$11),Berechnung!D27,"")</f>
        <v/>
      </c>
      <c r="AO28" s="118">
        <f>IF(AND($A28&gt;='Auswertung 3-Schicht'!F$10,$A28&lt;='Auswertung 3-Schicht'!F$11),Berechnung!E27,"")</f>
        <v>71.703945838535077</v>
      </c>
      <c r="AP28" s="118">
        <f>IF(AND($A28&gt;='Auswertung 3-Schicht'!G$10,$A28&lt;='Auswertung 3-Schicht'!G$11),Berechnung!F27,"")</f>
        <v>72.267793565586771</v>
      </c>
      <c r="AQ28" s="118" t="str">
        <f>IF(AND($A28&gt;='Auswertung 3-Schicht'!H$10,$A28&lt;='Auswertung 3-Schicht'!H$11),Berechnung!K27,"")</f>
        <v/>
      </c>
      <c r="AR28" s="118" t="str">
        <f>IF(AND($A28&gt;='Auswertung 3-Schicht'!I$10,$A28&lt;='Auswertung 3-Schicht'!I$11),Berechnung!L27,"")</f>
        <v/>
      </c>
      <c r="AS28" s="118" t="str">
        <f>IF(AND($A28&gt;='Auswertung 3-Schicht'!J$10,$A28&lt;='Auswertung 3-Schicht'!J$11),Berechnung!P27,"")</f>
        <v/>
      </c>
      <c r="AT28" s="118" t="str">
        <f>IF(AND($A28&gt;='Auswertung 3-Schicht'!K$10,$A28&lt;='Auswertung 3-Schicht'!K$11),Berechnung!Q27,"")</f>
        <v/>
      </c>
      <c r="AU28" s="82">
        <f t="shared" si="11"/>
        <v>2.3848810189594212</v>
      </c>
      <c r="AV28" s="42">
        <f t="shared" si="12"/>
        <v>-999</v>
      </c>
      <c r="AW28" s="79">
        <f t="shared" si="13"/>
        <v>-999</v>
      </c>
      <c r="AX28" s="79">
        <f t="shared" si="14"/>
        <v>-999</v>
      </c>
      <c r="AY28" s="79">
        <f t="shared" si="15"/>
        <v>-999</v>
      </c>
      <c r="AZ28" s="42">
        <f t="shared" si="16"/>
        <v>-999</v>
      </c>
      <c r="BA28" s="83">
        <f t="shared" si="17"/>
        <v>-999</v>
      </c>
      <c r="BB28" s="80">
        <f t="shared" si="18"/>
        <v>-999</v>
      </c>
      <c r="BC28" s="42">
        <f t="shared" si="19"/>
        <v>-999</v>
      </c>
      <c r="BD28" s="42">
        <f t="shared" si="20"/>
        <v>-999</v>
      </c>
      <c r="BE28" s="42">
        <f t="shared" si="21"/>
        <v>-999</v>
      </c>
      <c r="BF28" s="42">
        <f t="shared" si="22"/>
        <v>-999</v>
      </c>
      <c r="BG28" s="42">
        <f t="shared" si="23"/>
        <v>-999</v>
      </c>
      <c r="BH28" s="83">
        <f t="shared" si="24"/>
        <v>-999</v>
      </c>
      <c r="BI28" s="82">
        <f t="shared" si="25"/>
        <v>-999</v>
      </c>
      <c r="BJ28" s="42">
        <f t="shared" si="26"/>
        <v>71.703945838535077</v>
      </c>
      <c r="BK28" s="42">
        <f t="shared" si="27"/>
        <v>72.267793565586771</v>
      </c>
      <c r="BL28" s="42">
        <f t="shared" si="28"/>
        <v>-999</v>
      </c>
      <c r="BM28" s="42">
        <f t="shared" si="29"/>
        <v>-999</v>
      </c>
      <c r="BN28" s="42">
        <f t="shared" si="30"/>
        <v>-999</v>
      </c>
      <c r="BO28" s="83">
        <f t="shared" si="31"/>
        <v>-999</v>
      </c>
      <c r="BP28" s="80">
        <f>IF('Auswertung 2-Schicht'!O$4="",-999,MIN(1000*SQRT((A28+1)^2+AVERAGE(T0_Korrektur!D$1,T0_Korrektur!F$1,T0_Korrektur!H$1)^2)/'Auswertung 2-Schicht'!$O$4,'Auswertung 2-Schicht'!$O$8+1000*SQRT((A28+1)^2+AVERAGE(T0_Korrektur!D$1,T0_Korrektur!F$1,T0_Korrektur!H$1)^2)/'Auswertung 2-Schicht'!$O$7))</f>
        <v>75.59636864697859</v>
      </c>
      <c r="BQ28" s="83">
        <f>IF('Auswertung 3-Schicht'!N$4="",-999,IF('Auswertung 3-Schicht'!N$8="",MIN(1000*SQRT((A28+1)^2+AVERAGE(T0_Korrektur!D$1,T0_Korrektur!F$1,T0_Korrektur!H$1)^2)/'Auswertung 3-Schicht'!N$4,'Auswertung 3-Schicht'!N$6+1000*SQRT((A28+1)^2+AVERAGE(T0_Korrektur!D$1,T0_Korrektur!F$1,T0_Korrektur!H$1)^2)/'Auswertung 3-Schicht'!N$5),MIN(1000*SQRT((A28+1)^2+AVERAGE(T0_Korrektur!D$1,T0_Korrektur!F$1,T0_Korrektur!H$1)^2)/'Auswertung 3-Schicht'!N$4,'Auswertung 3-Schicht'!N$6+1000*SQRT((A28+1)^2+AVERAGE(T0_Korrektur!D$1,T0_Korrektur!F$1,T0_Korrektur!H$1)^2)/'Auswertung 3-Schicht'!N$5,'Auswertung 3-Schicht'!N$9+1000*SQRT((A28+1)^2+AVERAGE(T0_Korrektur!D$1,T0_Korrektur!F$1,T0_Korrektur!H$1)^2)/'Auswertung 3-Schicht'!N$8)))</f>
        <v>71.515588952095598</v>
      </c>
      <c r="BR28" s="82">
        <f>ABS(T0_Korrektur!C27)</f>
        <v>2.110094784600919</v>
      </c>
      <c r="BS28" s="42">
        <f>ABS(T0_Korrektur!E27)</f>
        <v>97.513127321402223</v>
      </c>
      <c r="BT28" s="42">
        <f>ABS(T0_Korrektur!I27)</f>
        <v>999</v>
      </c>
      <c r="BU28" s="79">
        <f>ABS(T0_Korrektur!M27)</f>
        <v>999</v>
      </c>
      <c r="BV28" s="120">
        <f>IF(T0_Korrektur!H27="","",T0_Korrektur!H27-Hilfsdaten!BP28)</f>
        <v>-3.3168686469785911</v>
      </c>
      <c r="BW28" s="118"/>
      <c r="BX28" s="118"/>
      <c r="BY28" s="118">
        <f>IF(T0_Korrektur!F32="","",T0_Korrektur!F32-Hilfsdaten!BP28)</f>
        <v>-9.2230686469785894</v>
      </c>
      <c r="BZ28" s="120">
        <f>IF(T0_Korrektur!H27="","",T0_Korrektur!H27-Hilfsdaten!BQ28)</f>
        <v>0.76391104790440068</v>
      </c>
      <c r="CA28" s="118"/>
      <c r="CB28" s="118"/>
      <c r="CC28" s="121">
        <f>IF(T0_Korrektur!F32="","",T0_Korrektur!F32-Hilfsdaten!BQ28)</f>
        <v>-5.1422889520955977</v>
      </c>
    </row>
    <row r="29" spans="1:82" x14ac:dyDescent="0.2">
      <c r="A29" s="130">
        <f>'Picks importieren'!B29</f>
        <v>100</v>
      </c>
      <c r="B29" s="120" t="str">
        <f>IF(AND($A29&gt;='Auswertung 2-Schicht'!C$3,$A29&lt;='Auswertung 2-Schicht'!C$4),Berechnung!C28,"")</f>
        <v/>
      </c>
      <c r="C29" s="118">
        <f>IF(AND($A29&gt;='Auswertung 2-Schicht'!D$3,$A29&lt;='Auswertung 2-Schicht'!D$4),Berechnung!D28,"")</f>
        <v>8.3211766715041691</v>
      </c>
      <c r="D29" s="118" t="str">
        <f>IF(AND($A29&gt;='Auswertung 2-Schicht'!E$3,$A29&lt;='Auswertung 2-Schicht'!E$4),Berechnung!G28,"")</f>
        <v/>
      </c>
      <c r="E29" s="121" t="str">
        <f>IF(AND($A29&gt;='Auswertung 2-Schicht'!F$3,$A29&lt;='Auswertung 2-Schicht'!F$4),Berechnung!F28,"")</f>
        <v/>
      </c>
      <c r="F29" s="131">
        <f>IF(AND($A29&gt;='Auswertung 2-Schicht'!H$3,$A29&lt;='Auswertung 2-Schicht'!H$4),IF('Auswertung 2-Schicht'!$H$8=1,Berechnung!I28,IF('Auswertung 2-Schicht'!$H$8=2,Berechnung!N28,Berechnung!S28)),"")</f>
        <v>97.108858683491775</v>
      </c>
      <c r="G29" s="118">
        <f>IF(AND($A29&gt;='Auswertung 2-Schicht'!H$3,$A29&lt;='Auswertung 2-Schicht'!H$4),IF('Auswertung 2-Schicht'!$H$8=1,Berechnung!J28,IF('Auswertung 2-Schicht'!$H$8=2,Berechnung!O28,Berechnung!T28)),"")</f>
        <v>43.025271839785319</v>
      </c>
      <c r="H29" s="118" t="str">
        <f>IF(AND($A29&gt;='Auswertung 2-Schicht'!I$3,$A29&lt;='Auswertung 2-Schicht'!I$4),Berechnung!K28,"")</f>
        <v/>
      </c>
      <c r="I29" s="132" t="str">
        <f>IF(AND($A29&gt;='Auswertung 2-Schicht'!J$3,$A29&lt;='Auswertung 2-Schicht'!J$4),Berechnung!L28,"")</f>
        <v/>
      </c>
      <c r="J29" s="118" t="str">
        <f>IF(AND($A29&gt;='Auswertung 2-Schicht'!K$3,$A29&lt;='Auswertung 2-Schicht'!K$4),Berechnung!P28,"")</f>
        <v/>
      </c>
      <c r="K29" s="134" t="str">
        <f>IF(AND($A29&gt;='Auswertung 2-Schicht'!L$3,$A29&lt;='Auswertung 2-Schicht'!L$4),Berechnung!Q28,"")</f>
        <v/>
      </c>
      <c r="L29" s="131">
        <f>IF('Auswertung 2-Schicht'!$H$8=1,Berechnung!I28,IF('Auswertung 2-Schicht'!$H$8=2,Berechnung!N28,Berechnung!S28))</f>
        <v>97.108858683491775</v>
      </c>
      <c r="M29" s="133">
        <f>IF('Auswertung 2-Schicht'!$H$8=1,Berechnung!J28,IF('Auswertung 2-Schicht'!$H$8=2,Berechnung!O28,Berechnung!T28))</f>
        <v>43.025271839785319</v>
      </c>
      <c r="N29" s="82">
        <f t="shared" si="4"/>
        <v>8.3211766715041691</v>
      </c>
      <c r="O29" s="42">
        <f t="shared" si="32"/>
        <v>-999</v>
      </c>
      <c r="P29" s="83">
        <f t="shared" si="33"/>
        <v>-999</v>
      </c>
      <c r="Q29" s="82">
        <f t="shared" si="5"/>
        <v>97.108858683491775</v>
      </c>
      <c r="R29" s="42">
        <f t="shared" si="6"/>
        <v>43.025271839785319</v>
      </c>
      <c r="S29" s="42">
        <f t="shared" si="7"/>
        <v>-999</v>
      </c>
      <c r="T29" s="42">
        <f t="shared" si="8"/>
        <v>-999</v>
      </c>
      <c r="U29" s="42">
        <f t="shared" si="9"/>
        <v>-999</v>
      </c>
      <c r="V29" s="109">
        <f t="shared" si="10"/>
        <v>-999</v>
      </c>
      <c r="W29" s="120" t="str">
        <f>IF(AND($A29&gt;='Auswertung 3-Schicht'!D$3,$A29&lt;='Auswertung 3-Schicht'!D$4),Berechnung!C28,"")</f>
        <v/>
      </c>
      <c r="X29" s="118">
        <f>IF(AND($A29&gt;='Auswertung 3-Schicht'!E$3,$A29&lt;='Auswertung 3-Schicht'!E$4),Berechnung!D28,"")</f>
        <v>8.3211766715041691</v>
      </c>
      <c r="Y29" s="118" t="str">
        <f>IF(AND($A29&gt;='Auswertung 3-Schicht'!F$3,$A29&lt;='Auswertung 3-Schicht'!F$4),Berechnung!E28,"")</f>
        <v/>
      </c>
      <c r="Z29" s="132" t="str">
        <f>IF(AND($A29&gt;='Auswertung 3-Schicht'!G$3,$A29&lt;='Auswertung 3-Schicht'!G$4),Berechnung!F28,"")</f>
        <v/>
      </c>
      <c r="AA29" s="118" t="str">
        <f>IF(AND($A29&gt;='Auswertung 3-Schicht'!H$3,$A29&lt;='Auswertung 3-Schicht'!H$4),Berechnung!K28,"")</f>
        <v/>
      </c>
      <c r="AB29" s="134" t="str">
        <f>IF(AND($A29&gt;='Auswertung 3-Schicht'!I$3,$A29&lt;='Auswertung 3-Schicht'!I$4),Berechnung!L28,"")</f>
        <v/>
      </c>
      <c r="AC29" s="118" t="str">
        <f>IF(AND($A29&gt;='Auswertung 3-Schicht'!J$3,$A29&lt;='Auswertung 3-Schicht'!J$4),Berechnung!P28,"")</f>
        <v/>
      </c>
      <c r="AD29" s="121" t="str">
        <f>IF(AND($A29&gt;='Auswertung 3-Schicht'!K$3,$A29&lt;='Auswertung 3-Schicht'!K$4),Berechnung!Q28,"")</f>
        <v/>
      </c>
      <c r="AE29" s="136" t="str">
        <f>IF(AND($A29&gt;='Auswertung 3-Schicht'!D$6,$A29&lt;='Auswertung 3-Schicht'!D$7),Berechnung!C28,"")</f>
        <v/>
      </c>
      <c r="AF29" s="118" t="str">
        <f>IF(AND($A29&gt;='Auswertung 3-Schicht'!E$6,$A29&lt;='Auswertung 3-Schicht'!E$7),Berechnung!D28,"")</f>
        <v/>
      </c>
      <c r="AG29" s="118" t="str">
        <f>IF(AND($A29&gt;='Auswertung 3-Schicht'!F$6,$A29&lt;='Auswertung 3-Schicht'!F$7),Berechnung!E28,"")</f>
        <v/>
      </c>
      <c r="AH29" s="118" t="str">
        <f>IF(AND($A29&gt;='Auswertung 3-Schicht'!G$6,$A29&lt;='Auswertung 3-Schicht'!G$7),Berechnung!F28,"")</f>
        <v/>
      </c>
      <c r="AI29" s="118" t="str">
        <f>IF(AND($A29&gt;='Auswertung 3-Schicht'!H$6,$A29&lt;='Auswertung 3-Schicht'!H$7),Berechnung!K28,"")</f>
        <v/>
      </c>
      <c r="AJ29" s="118" t="str">
        <f>IF(AND($A29&gt;='Auswertung 3-Schicht'!I$6,$A29&lt;='Auswertung 3-Schicht'!I$7),Berechnung!L28,"")</f>
        <v/>
      </c>
      <c r="AK29" s="118" t="str">
        <f>IF(AND($A29&gt;='Auswertung 3-Schicht'!J$6,$A29&lt;='Auswertung 3-Schicht'!J$7),Berechnung!P28,"")</f>
        <v/>
      </c>
      <c r="AL29" s="118" t="str">
        <f>IF(AND($A29&gt;='Auswertung 3-Schicht'!K$6,$A29&lt;='Auswertung 3-Schicht'!K$7),Berechnung!Q28,"")</f>
        <v/>
      </c>
      <c r="AM29" s="120" t="str">
        <f>IF(AND($A29&gt;='Auswertung 3-Schicht'!D$10,$A29&lt;='Auswertung 3-Schicht'!D$11),Berechnung!C28,"")</f>
        <v/>
      </c>
      <c r="AN29" s="118" t="str">
        <f>IF(AND($A29&gt;='Auswertung 3-Schicht'!E$10,$A29&lt;='Auswertung 3-Schicht'!E$11),Berechnung!D28,"")</f>
        <v/>
      </c>
      <c r="AO29" s="118">
        <f>IF(AND($A29&gt;='Auswertung 3-Schicht'!F$10,$A29&lt;='Auswertung 3-Schicht'!F$11),Berechnung!E28,"")</f>
        <v>70.809257958588788</v>
      </c>
      <c r="AP29" s="118">
        <f>IF(AND($A29&gt;='Auswertung 3-Schicht'!G$10,$A29&lt;='Auswertung 3-Schicht'!G$11),Berechnung!F28,"")</f>
        <v>73.420579864768285</v>
      </c>
      <c r="AQ29" s="118" t="str">
        <f>IF(AND($A29&gt;='Auswertung 3-Schicht'!H$10,$A29&lt;='Auswertung 3-Schicht'!H$11),Berechnung!K28,"")</f>
        <v/>
      </c>
      <c r="AR29" s="118" t="str">
        <f>IF(AND($A29&gt;='Auswertung 3-Schicht'!I$10,$A29&lt;='Auswertung 3-Schicht'!I$11),Berechnung!L28,"")</f>
        <v/>
      </c>
      <c r="AS29" s="118" t="str">
        <f>IF(AND($A29&gt;='Auswertung 3-Schicht'!J$10,$A29&lt;='Auswertung 3-Schicht'!J$11),Berechnung!P28,"")</f>
        <v/>
      </c>
      <c r="AT29" s="118" t="str">
        <f>IF(AND($A29&gt;='Auswertung 3-Schicht'!K$10,$A29&lt;='Auswertung 3-Schicht'!K$11),Berechnung!Q28,"")</f>
        <v/>
      </c>
      <c r="AU29" s="82">
        <f t="shared" si="11"/>
        <v>8.3211766715041691</v>
      </c>
      <c r="AV29" s="42">
        <f t="shared" si="12"/>
        <v>-999</v>
      </c>
      <c r="AW29" s="79">
        <f t="shared" si="13"/>
        <v>-999</v>
      </c>
      <c r="AX29" s="79">
        <f t="shared" si="14"/>
        <v>-999</v>
      </c>
      <c r="AY29" s="79">
        <f t="shared" si="15"/>
        <v>-999</v>
      </c>
      <c r="AZ29" s="42">
        <f t="shared" si="16"/>
        <v>-999</v>
      </c>
      <c r="BA29" s="83">
        <f t="shared" si="17"/>
        <v>-999</v>
      </c>
      <c r="BB29" s="80">
        <f t="shared" si="18"/>
        <v>-999</v>
      </c>
      <c r="BC29" s="42">
        <f t="shared" si="19"/>
        <v>-999</v>
      </c>
      <c r="BD29" s="42">
        <f t="shared" si="20"/>
        <v>-999</v>
      </c>
      <c r="BE29" s="42">
        <f t="shared" si="21"/>
        <v>-999</v>
      </c>
      <c r="BF29" s="42">
        <f t="shared" si="22"/>
        <v>-999</v>
      </c>
      <c r="BG29" s="42">
        <f t="shared" si="23"/>
        <v>-999</v>
      </c>
      <c r="BH29" s="83">
        <f t="shared" si="24"/>
        <v>-999</v>
      </c>
      <c r="BI29" s="82">
        <f t="shared" si="25"/>
        <v>-999</v>
      </c>
      <c r="BJ29" s="42">
        <f t="shared" si="26"/>
        <v>70.809257958588788</v>
      </c>
      <c r="BK29" s="42">
        <f t="shared" si="27"/>
        <v>73.420579864768285</v>
      </c>
      <c r="BL29" s="42">
        <f t="shared" si="28"/>
        <v>-999</v>
      </c>
      <c r="BM29" s="42">
        <f t="shared" si="29"/>
        <v>-999</v>
      </c>
      <c r="BN29" s="42">
        <f t="shared" si="30"/>
        <v>-999</v>
      </c>
      <c r="BO29" s="83">
        <f t="shared" si="31"/>
        <v>-999</v>
      </c>
      <c r="BP29" s="80">
        <f>IF('Auswertung 2-Schicht'!O$4="",-999,MIN(1000*SQRT((A29+1)^2+AVERAGE(T0_Korrektur!D$1,T0_Korrektur!F$1,T0_Korrektur!H$1)^2)/'Auswertung 2-Schicht'!$O$4,'Auswertung 2-Schicht'!$O$8+1000*SQRT((A29+1)^2+AVERAGE(T0_Korrektur!D$1,T0_Korrektur!F$1,T0_Korrektur!H$1)^2)/'Auswertung 2-Schicht'!$O$7))</f>
        <v>76.57275962414036</v>
      </c>
      <c r="BQ29" s="83">
        <f>IF('Auswertung 3-Schicht'!N$4="",-999,IF('Auswertung 3-Schicht'!N$8="",MIN(1000*SQRT((A29+1)^2+AVERAGE(T0_Korrektur!D$1,T0_Korrektur!F$1,T0_Korrektur!H$1)^2)/'Auswertung 3-Schicht'!N$4,'Auswertung 3-Schicht'!N$6+1000*SQRT((A29+1)^2+AVERAGE(T0_Korrektur!D$1,T0_Korrektur!F$1,T0_Korrektur!H$1)^2)/'Auswertung 3-Schicht'!N$5),MIN(1000*SQRT((A29+1)^2+AVERAGE(T0_Korrektur!D$1,T0_Korrektur!F$1,T0_Korrektur!H$1)^2)/'Auswertung 3-Schicht'!N$4,'Auswertung 3-Schicht'!N$6+1000*SQRT((A29+1)^2+AVERAGE(T0_Korrektur!D$1,T0_Korrektur!F$1,T0_Korrektur!H$1)^2)/'Auswertung 3-Schicht'!N$5,'Auswertung 3-Schicht'!N$9+1000*SQRT((A29+1)^2+AVERAGE(T0_Korrektur!D$1,T0_Korrektur!F$1,T0_Korrektur!H$1)^2)/'Auswertung 3-Schicht'!N$8)))</f>
        <v>72.280472386107391</v>
      </c>
      <c r="BR29" s="82">
        <f>ABS(T0_Korrektur!C28)</f>
        <v>4.1173413752080359</v>
      </c>
      <c r="BS29" s="42">
        <f>ABS(T0_Korrektur!E28)</f>
        <v>95.013472728871449</v>
      </c>
      <c r="BT29" s="42">
        <f>ABS(T0_Korrektur!I28)</f>
        <v>999</v>
      </c>
      <c r="BU29" s="79">
        <f>ABS(T0_Korrektur!M28)</f>
        <v>999</v>
      </c>
      <c r="BV29" s="120">
        <f>IF(T0_Korrektur!H28="","",T0_Korrektur!H28-Hilfsdaten!BP29)</f>
        <v>-3.1408596241403615</v>
      </c>
      <c r="BW29" s="118"/>
      <c r="BX29" s="118"/>
      <c r="BY29" s="118">
        <f>IF(T0_Korrektur!F31="","",T0_Korrektur!F31-Hilfsdaten!BP29)</f>
        <v>-7.9508596241403637</v>
      </c>
      <c r="BZ29" s="120">
        <f>IF(T0_Korrektur!H28="","",T0_Korrektur!H28-Hilfsdaten!BQ29)</f>
        <v>1.1514276138926078</v>
      </c>
      <c r="CA29" s="118"/>
      <c r="CB29" s="118"/>
      <c r="CC29" s="121">
        <f>IF(T0_Korrektur!F31="","",T0_Korrektur!F31-Hilfsdaten!BQ29)</f>
        <v>-3.6585723861073944</v>
      </c>
    </row>
    <row r="30" spans="1:82" x14ac:dyDescent="0.2">
      <c r="A30" s="130">
        <f>'Picks importieren'!B30</f>
        <v>102.5</v>
      </c>
      <c r="B30" s="120" t="str">
        <f>IF(AND($A30&gt;='Auswertung 2-Schicht'!C$3,$A30&lt;='Auswertung 2-Schicht'!C$4),Berechnung!C29,"")</f>
        <v/>
      </c>
      <c r="C30" s="118">
        <f>IF(AND($A30&gt;='Auswertung 2-Schicht'!D$3,$A30&lt;='Auswertung 2-Schicht'!D$4),Berechnung!D29,"")</f>
        <v>13.352767348335838</v>
      </c>
      <c r="D30" s="118" t="str">
        <f>IF(AND($A30&gt;='Auswertung 2-Schicht'!E$3,$A30&lt;='Auswertung 2-Schicht'!E$4),Berechnung!G29,"")</f>
        <v/>
      </c>
      <c r="E30" s="121" t="str">
        <f>IF(AND($A30&gt;='Auswertung 2-Schicht'!F$3,$A30&lt;='Auswertung 2-Schicht'!F$4),Berechnung!F29,"")</f>
        <v/>
      </c>
      <c r="F30" s="131">
        <f>IF(AND($A30&gt;='Auswertung 2-Schicht'!H$3,$A30&lt;='Auswertung 2-Schicht'!H$4),IF('Auswertung 2-Schicht'!$H$8=1,Berechnung!I29,IF('Auswertung 2-Schicht'!$H$8=2,Berechnung!N29,Berechnung!S29)),"")</f>
        <v>98.49173725230655</v>
      </c>
      <c r="G30" s="118">
        <f>IF(AND($A30&gt;='Auswertung 2-Schicht'!H$3,$A30&lt;='Auswertung 2-Schicht'!H$4),IF('Auswertung 2-Schicht'!$H$8=1,Berechnung!J29,IF('Auswertung 2-Schicht'!$H$8=2,Berechnung!O29,Berechnung!T29)),"")</f>
        <v>43.691757357291209</v>
      </c>
      <c r="H30" s="118" t="str">
        <f>IF(AND($A30&gt;='Auswertung 2-Schicht'!I$3,$A30&lt;='Auswertung 2-Schicht'!I$4),Berechnung!K29,"")</f>
        <v/>
      </c>
      <c r="I30" s="132" t="str">
        <f>IF(AND($A30&gt;='Auswertung 2-Schicht'!J$3,$A30&lt;='Auswertung 2-Schicht'!J$4),Berechnung!L29,"")</f>
        <v/>
      </c>
      <c r="J30" s="118" t="str">
        <f>IF(AND($A30&gt;='Auswertung 2-Schicht'!K$3,$A30&lt;='Auswertung 2-Schicht'!K$4),Berechnung!P29,"")</f>
        <v/>
      </c>
      <c r="K30" s="134" t="str">
        <f>IF(AND($A30&gt;='Auswertung 2-Schicht'!L$3,$A30&lt;='Auswertung 2-Schicht'!L$4),Berechnung!Q29,"")</f>
        <v/>
      </c>
      <c r="L30" s="131">
        <f>IF('Auswertung 2-Schicht'!$H$8=1,Berechnung!I29,IF('Auswertung 2-Schicht'!$H$8=2,Berechnung!N29,Berechnung!S29))</f>
        <v>98.49173725230655</v>
      </c>
      <c r="M30" s="133">
        <f>IF('Auswertung 2-Schicht'!$H$8=1,Berechnung!J29,IF('Auswertung 2-Schicht'!$H$8=2,Berechnung!O29,Berechnung!T29))</f>
        <v>43.691757357291209</v>
      </c>
      <c r="N30" s="82">
        <f t="shared" si="4"/>
        <v>13.352767348335838</v>
      </c>
      <c r="O30" s="42">
        <f t="shared" si="32"/>
        <v>-999</v>
      </c>
      <c r="P30" s="83">
        <f t="shared" si="33"/>
        <v>-999</v>
      </c>
      <c r="Q30" s="82">
        <f t="shared" si="5"/>
        <v>98.49173725230655</v>
      </c>
      <c r="R30" s="42">
        <f t="shared" si="6"/>
        <v>43.691757357291209</v>
      </c>
      <c r="S30" s="42">
        <f t="shared" si="7"/>
        <v>-999</v>
      </c>
      <c r="T30" s="42">
        <f t="shared" si="8"/>
        <v>-999</v>
      </c>
      <c r="U30" s="42">
        <f t="shared" si="9"/>
        <v>-999</v>
      </c>
      <c r="V30" s="109">
        <f t="shared" si="10"/>
        <v>-999</v>
      </c>
      <c r="W30" s="120" t="str">
        <f>IF(AND($A30&gt;='Auswertung 3-Schicht'!D$3,$A30&lt;='Auswertung 3-Schicht'!D$4),Berechnung!C29,"")</f>
        <v/>
      </c>
      <c r="X30" s="118">
        <f>IF(AND($A30&gt;='Auswertung 3-Schicht'!E$3,$A30&lt;='Auswertung 3-Schicht'!E$4),Berechnung!D29,"")</f>
        <v>13.352767348335838</v>
      </c>
      <c r="Y30" s="118" t="str">
        <f>IF(AND($A30&gt;='Auswertung 3-Schicht'!F$3,$A30&lt;='Auswertung 3-Schicht'!F$4),Berechnung!E29,"")</f>
        <v/>
      </c>
      <c r="Z30" s="132" t="str">
        <f>IF(AND($A30&gt;='Auswertung 3-Schicht'!G$3,$A30&lt;='Auswertung 3-Schicht'!G$4),Berechnung!F29,"")</f>
        <v/>
      </c>
      <c r="AA30" s="118" t="str">
        <f>IF(AND($A30&gt;='Auswertung 3-Schicht'!H$3,$A30&lt;='Auswertung 3-Schicht'!H$4),Berechnung!K29,"")</f>
        <v/>
      </c>
      <c r="AB30" s="134" t="str">
        <f>IF(AND($A30&gt;='Auswertung 3-Schicht'!I$3,$A30&lt;='Auswertung 3-Schicht'!I$4),Berechnung!L29,"")</f>
        <v/>
      </c>
      <c r="AC30" s="118" t="str">
        <f>IF(AND($A30&gt;='Auswertung 3-Schicht'!J$3,$A30&lt;='Auswertung 3-Schicht'!J$4),Berechnung!P29,"")</f>
        <v/>
      </c>
      <c r="AD30" s="121" t="str">
        <f>IF(AND($A30&gt;='Auswertung 3-Schicht'!K$3,$A30&lt;='Auswertung 3-Schicht'!K$4),Berechnung!Q29,"")</f>
        <v/>
      </c>
      <c r="AE30" s="136" t="str">
        <f>IF(AND($A30&gt;='Auswertung 3-Schicht'!D$6,$A30&lt;='Auswertung 3-Schicht'!D$7),Berechnung!C29,"")</f>
        <v/>
      </c>
      <c r="AF30" s="118" t="str">
        <f>IF(AND($A30&gt;='Auswertung 3-Schicht'!E$6,$A30&lt;='Auswertung 3-Schicht'!E$7),Berechnung!D29,"")</f>
        <v/>
      </c>
      <c r="AG30" s="118" t="str">
        <f>IF(AND($A30&gt;='Auswertung 3-Schicht'!F$6,$A30&lt;='Auswertung 3-Schicht'!F$7),Berechnung!E29,"")</f>
        <v/>
      </c>
      <c r="AH30" s="118" t="str">
        <f>IF(AND($A30&gt;='Auswertung 3-Schicht'!G$6,$A30&lt;='Auswertung 3-Schicht'!G$7),Berechnung!F29,"")</f>
        <v/>
      </c>
      <c r="AI30" s="118" t="str">
        <f>IF(AND($A30&gt;='Auswertung 3-Schicht'!H$6,$A30&lt;='Auswertung 3-Schicht'!H$7),Berechnung!K29,"")</f>
        <v/>
      </c>
      <c r="AJ30" s="118" t="str">
        <f>IF(AND($A30&gt;='Auswertung 3-Schicht'!I$6,$A30&lt;='Auswertung 3-Schicht'!I$7),Berechnung!L29,"")</f>
        <v/>
      </c>
      <c r="AK30" s="118" t="str">
        <f>IF(AND($A30&gt;='Auswertung 3-Schicht'!J$6,$A30&lt;='Auswertung 3-Schicht'!J$7),Berechnung!P29,"")</f>
        <v/>
      </c>
      <c r="AL30" s="118" t="str">
        <f>IF(AND($A30&gt;='Auswertung 3-Schicht'!K$6,$A30&lt;='Auswertung 3-Schicht'!K$7),Berechnung!Q29,"")</f>
        <v/>
      </c>
      <c r="AM30" s="120" t="str">
        <f>IF(AND($A30&gt;='Auswertung 3-Schicht'!D$10,$A30&lt;='Auswertung 3-Schicht'!D$11),Berechnung!C29,"")</f>
        <v/>
      </c>
      <c r="AN30" s="118" t="str">
        <f>IF(AND($A30&gt;='Auswertung 3-Schicht'!E$10,$A30&lt;='Auswertung 3-Schicht'!E$11),Berechnung!D29,"")</f>
        <v/>
      </c>
      <c r="AO30" s="118">
        <f>IF(AND($A30&gt;='Auswertung 3-Schicht'!F$10,$A30&lt;='Auswertung 3-Schicht'!F$11),Berechnung!E29,"")</f>
        <v>70.451061432934338</v>
      </c>
      <c r="AP30" s="118">
        <f>IF(AND($A30&gt;='Auswertung 3-Schicht'!G$10,$A30&lt;='Auswertung 3-Schicht'!G$11),Berechnung!F29,"")</f>
        <v>74.445261907928611</v>
      </c>
      <c r="AQ30" s="118" t="str">
        <f>IF(AND($A30&gt;='Auswertung 3-Schicht'!H$10,$A30&lt;='Auswertung 3-Schicht'!H$11),Berechnung!K29,"")</f>
        <v/>
      </c>
      <c r="AR30" s="118" t="str">
        <f>IF(AND($A30&gt;='Auswertung 3-Schicht'!I$10,$A30&lt;='Auswertung 3-Schicht'!I$11),Berechnung!L29,"")</f>
        <v/>
      </c>
      <c r="AS30" s="118" t="str">
        <f>IF(AND($A30&gt;='Auswertung 3-Schicht'!J$10,$A30&lt;='Auswertung 3-Schicht'!J$11),Berechnung!P29,"")</f>
        <v/>
      </c>
      <c r="AT30" s="118" t="str">
        <f>IF(AND($A30&gt;='Auswertung 3-Schicht'!K$10,$A30&lt;='Auswertung 3-Schicht'!K$11),Berechnung!Q29,"")</f>
        <v/>
      </c>
      <c r="AU30" s="82">
        <f t="shared" si="11"/>
        <v>13.352767348335838</v>
      </c>
      <c r="AV30" s="42">
        <f t="shared" si="12"/>
        <v>-999</v>
      </c>
      <c r="AW30" s="79">
        <f t="shared" si="13"/>
        <v>-999</v>
      </c>
      <c r="AX30" s="79">
        <f t="shared" si="14"/>
        <v>-999</v>
      </c>
      <c r="AY30" s="79">
        <f t="shared" si="15"/>
        <v>-999</v>
      </c>
      <c r="AZ30" s="42">
        <f t="shared" si="16"/>
        <v>-999</v>
      </c>
      <c r="BA30" s="83">
        <f t="shared" si="17"/>
        <v>-999</v>
      </c>
      <c r="BB30" s="80">
        <f t="shared" si="18"/>
        <v>-999</v>
      </c>
      <c r="BC30" s="42">
        <f t="shared" si="19"/>
        <v>-999</v>
      </c>
      <c r="BD30" s="42">
        <f t="shared" si="20"/>
        <v>-999</v>
      </c>
      <c r="BE30" s="42">
        <f t="shared" si="21"/>
        <v>-999</v>
      </c>
      <c r="BF30" s="42">
        <f t="shared" si="22"/>
        <v>-999</v>
      </c>
      <c r="BG30" s="42">
        <f t="shared" si="23"/>
        <v>-999</v>
      </c>
      <c r="BH30" s="83">
        <f t="shared" si="24"/>
        <v>-999</v>
      </c>
      <c r="BI30" s="82">
        <f t="shared" si="25"/>
        <v>-999</v>
      </c>
      <c r="BJ30" s="42">
        <f t="shared" si="26"/>
        <v>70.451061432934338</v>
      </c>
      <c r="BK30" s="42">
        <f t="shared" si="27"/>
        <v>74.445261907928611</v>
      </c>
      <c r="BL30" s="42">
        <f t="shared" si="28"/>
        <v>-999</v>
      </c>
      <c r="BM30" s="42">
        <f t="shared" si="29"/>
        <v>-999</v>
      </c>
      <c r="BN30" s="42">
        <f t="shared" si="30"/>
        <v>-999</v>
      </c>
      <c r="BO30" s="83">
        <f t="shared" si="31"/>
        <v>-999</v>
      </c>
      <c r="BP30" s="80">
        <f>IF('Auswertung 2-Schicht'!O$4="",-999,MIN(1000*SQRT((A30+1)^2+AVERAGE(T0_Korrektur!D$1,T0_Korrektur!F$1,T0_Korrektur!H$1)^2)/'Auswertung 2-Schicht'!$O$4,'Auswertung 2-Schicht'!$O$8+1000*SQRT((A30+1)^2+AVERAGE(T0_Korrektur!D$1,T0_Korrektur!F$1,T0_Korrektur!H$1)^2)/'Auswertung 2-Schicht'!$O$7))</f>
        <v>77.549157450536484</v>
      </c>
      <c r="BQ30" s="83">
        <f>IF('Auswertung 3-Schicht'!N$4="",-999,IF('Auswertung 3-Schicht'!N$8="",MIN(1000*SQRT((A30+1)^2+AVERAGE(T0_Korrektur!D$1,T0_Korrektur!F$1,T0_Korrektur!H$1)^2)/'Auswertung 3-Schicht'!N$4,'Auswertung 3-Schicht'!N$6+1000*SQRT((A30+1)^2+AVERAGE(T0_Korrektur!D$1,T0_Korrektur!F$1,T0_Korrektur!H$1)^2)/'Auswertung 3-Schicht'!N$5),MIN(1000*SQRT((A30+1)^2+AVERAGE(T0_Korrektur!D$1,T0_Korrektur!F$1,T0_Korrektur!H$1)^2)/'Auswertung 3-Schicht'!N$4,'Auswertung 3-Schicht'!N$6+1000*SQRT((A30+1)^2+AVERAGE(T0_Korrektur!D$1,T0_Korrektur!F$1,T0_Korrektur!H$1)^2)/'Auswertung 3-Schicht'!N$5,'Auswertung 3-Schicht'!N$9+1000*SQRT((A30+1)^2+AVERAGE(T0_Korrektur!D$1,T0_Korrektur!F$1,T0_Korrektur!H$1)^2)/'Auswertung 3-Schicht'!N$8)))</f>
        <v>73.045361185660269</v>
      </c>
      <c r="BR30" s="82">
        <f>ABS(T0_Korrektur!C29)</f>
        <v>6.4770749571083401</v>
      </c>
      <c r="BS30" s="42">
        <f>ABS(T0_Korrektur!E29)</f>
        <v>92.513836802934506</v>
      </c>
      <c r="BT30" s="42">
        <f>ABS(T0_Korrektur!I29)</f>
        <v>999</v>
      </c>
      <c r="BU30" s="79">
        <f>ABS(T0_Korrektur!M29)</f>
        <v>999</v>
      </c>
      <c r="BV30" s="120">
        <f>IF(T0_Korrektur!H29="","",T0_Korrektur!H29-Hilfsdaten!BP30)</f>
        <v>-3.0929574505364883</v>
      </c>
      <c r="BW30" s="118"/>
      <c r="BX30" s="118"/>
      <c r="BY30" s="118">
        <f>IF(T0_Korrektur!F30="","",T0_Korrektur!F30-Hilfsdaten!BP30)</f>
        <v>-7.9051574505364783</v>
      </c>
      <c r="BZ30" s="120">
        <f>IF(T0_Korrektur!H29="","",T0_Korrektur!H29-Hilfsdaten!BQ30)</f>
        <v>1.4108388143397264</v>
      </c>
      <c r="CA30" s="118"/>
      <c r="CB30" s="118"/>
      <c r="CC30" s="121">
        <f>IF(T0_Korrektur!F30="","",T0_Korrektur!F30-Hilfsdaten!BQ30)</f>
        <v>-3.4013611856602637</v>
      </c>
    </row>
    <row r="31" spans="1:82" x14ac:dyDescent="0.2">
      <c r="A31" s="130">
        <f>'Picks importieren'!B31</f>
        <v>105</v>
      </c>
      <c r="B31" s="120" t="str">
        <f>IF(AND($A31&gt;='Auswertung 2-Schicht'!C$3,$A31&lt;='Auswertung 2-Schicht'!C$4),Berechnung!C30,"")</f>
        <v/>
      </c>
      <c r="C31" s="118">
        <f>IF(AND($A31&gt;='Auswertung 2-Schicht'!D$3,$A31&lt;='Auswertung 2-Schicht'!D$4),Berechnung!D30,"")</f>
        <v>17.353905403007726</v>
      </c>
      <c r="D31" s="118" t="str">
        <f>IF(AND($A31&gt;='Auswertung 2-Schicht'!E$3,$A31&lt;='Auswertung 2-Schicht'!E$4),Berechnung!G30,"")</f>
        <v/>
      </c>
      <c r="E31" s="121" t="str">
        <f>IF(AND($A31&gt;='Auswertung 2-Schicht'!F$3,$A31&lt;='Auswertung 2-Schicht'!F$4),Berechnung!F30,"")</f>
        <v/>
      </c>
      <c r="F31" s="131">
        <f>IF(AND($A31&gt;='Auswertung 2-Schicht'!H$3,$A31&lt;='Auswertung 2-Schicht'!H$4),IF('Auswertung 2-Schicht'!$H$8=1,Berechnung!I30,IF('Auswertung 2-Schicht'!$H$8=2,Berechnung!N30,Berechnung!S30)),"")</f>
        <v>100.20647865551042</v>
      </c>
      <c r="G31" s="118">
        <f>IF(AND($A31&gt;='Auswertung 2-Schicht'!H$3,$A31&lt;='Auswertung 2-Schicht'!H$4),IF('Auswertung 2-Schicht'!$H$8=1,Berechnung!J30,IF('Auswertung 2-Schicht'!$H$8=2,Berechnung!O30,Berechnung!T30)),"")</f>
        <v>43.770370167451546</v>
      </c>
      <c r="H31" s="118" t="str">
        <f>IF(AND($A31&gt;='Auswertung 2-Schicht'!I$3,$A31&lt;='Auswertung 2-Schicht'!I$4),Berechnung!K30,"")</f>
        <v/>
      </c>
      <c r="I31" s="132" t="str">
        <f>IF(AND($A31&gt;='Auswertung 2-Schicht'!J$3,$A31&lt;='Auswertung 2-Schicht'!J$4),Berechnung!L30,"")</f>
        <v/>
      </c>
      <c r="J31" s="118" t="str">
        <f>IF(AND($A31&gt;='Auswertung 2-Schicht'!K$3,$A31&lt;='Auswertung 2-Schicht'!K$4),Berechnung!P30,"")</f>
        <v/>
      </c>
      <c r="K31" s="134" t="str">
        <f>IF(AND($A31&gt;='Auswertung 2-Schicht'!L$3,$A31&lt;='Auswertung 2-Schicht'!L$4),Berechnung!Q30,"")</f>
        <v/>
      </c>
      <c r="L31" s="131">
        <f>IF('Auswertung 2-Schicht'!$H$8=1,Berechnung!I30,IF('Auswertung 2-Schicht'!$H$8=2,Berechnung!N30,Berechnung!S30))</f>
        <v>100.20647865551042</v>
      </c>
      <c r="M31" s="133">
        <f>IF('Auswertung 2-Schicht'!$H$8=1,Berechnung!J30,IF('Auswertung 2-Schicht'!$H$8=2,Berechnung!O30,Berechnung!T30))</f>
        <v>43.770370167451546</v>
      </c>
      <c r="N31" s="82">
        <f t="shared" si="4"/>
        <v>17.353905403007726</v>
      </c>
      <c r="O31" s="42">
        <f t="shared" si="32"/>
        <v>-999</v>
      </c>
      <c r="P31" s="83">
        <f t="shared" si="33"/>
        <v>-999</v>
      </c>
      <c r="Q31" s="82">
        <f t="shared" si="5"/>
        <v>100.20647865551042</v>
      </c>
      <c r="R31" s="42">
        <f t="shared" si="6"/>
        <v>43.770370167451546</v>
      </c>
      <c r="S31" s="42">
        <f t="shared" si="7"/>
        <v>-999</v>
      </c>
      <c r="T31" s="42">
        <f t="shared" si="8"/>
        <v>-999</v>
      </c>
      <c r="U31" s="42">
        <f t="shared" si="9"/>
        <v>-999</v>
      </c>
      <c r="V31" s="109">
        <f t="shared" si="10"/>
        <v>-999</v>
      </c>
      <c r="W31" s="120" t="str">
        <f>IF(AND($A31&gt;='Auswertung 3-Schicht'!D$3,$A31&lt;='Auswertung 3-Schicht'!D$4),Berechnung!C30,"")</f>
        <v/>
      </c>
      <c r="X31" s="118">
        <f>IF(AND($A31&gt;='Auswertung 3-Schicht'!E$3,$A31&lt;='Auswertung 3-Schicht'!E$4),Berechnung!D30,"")</f>
        <v>17.353905403007726</v>
      </c>
      <c r="Y31" s="118" t="str">
        <f>IF(AND($A31&gt;='Auswertung 3-Schicht'!F$3,$A31&lt;='Auswertung 3-Schicht'!F$4),Berechnung!E30,"")</f>
        <v/>
      </c>
      <c r="Z31" s="132" t="str">
        <f>IF(AND($A31&gt;='Auswertung 3-Schicht'!G$3,$A31&lt;='Auswertung 3-Schicht'!G$4),Berechnung!F30,"")</f>
        <v/>
      </c>
      <c r="AA31" s="118" t="str">
        <f>IF(AND($A31&gt;='Auswertung 3-Schicht'!H$3,$A31&lt;='Auswertung 3-Schicht'!H$4),Berechnung!K30,"")</f>
        <v/>
      </c>
      <c r="AB31" s="134" t="str">
        <f>IF(AND($A31&gt;='Auswertung 3-Schicht'!I$3,$A31&lt;='Auswertung 3-Schicht'!I$4),Berechnung!L30,"")</f>
        <v/>
      </c>
      <c r="AC31" s="118" t="str">
        <f>IF(AND($A31&gt;='Auswertung 3-Schicht'!J$3,$A31&lt;='Auswertung 3-Schicht'!J$4),Berechnung!P30,"")</f>
        <v/>
      </c>
      <c r="AD31" s="121" t="str">
        <f>IF(AND($A31&gt;='Auswertung 3-Schicht'!K$3,$A31&lt;='Auswertung 3-Schicht'!K$4),Berechnung!Q30,"")</f>
        <v/>
      </c>
      <c r="AE31" s="136" t="str">
        <f>IF(AND($A31&gt;='Auswertung 3-Schicht'!D$6,$A31&lt;='Auswertung 3-Schicht'!D$7),Berechnung!C30,"")</f>
        <v/>
      </c>
      <c r="AF31" s="118" t="str">
        <f>IF(AND($A31&gt;='Auswertung 3-Schicht'!E$6,$A31&lt;='Auswertung 3-Schicht'!E$7),Berechnung!D30,"")</f>
        <v/>
      </c>
      <c r="AG31" s="118" t="str">
        <f>IF(AND($A31&gt;='Auswertung 3-Schicht'!F$6,$A31&lt;='Auswertung 3-Schicht'!F$7),Berechnung!E30,"")</f>
        <v/>
      </c>
      <c r="AH31" s="118" t="str">
        <f>IF(AND($A31&gt;='Auswertung 3-Schicht'!G$6,$A31&lt;='Auswertung 3-Schicht'!G$7),Berechnung!F30,"")</f>
        <v/>
      </c>
      <c r="AI31" s="118" t="str">
        <f>IF(AND($A31&gt;='Auswertung 3-Schicht'!H$6,$A31&lt;='Auswertung 3-Schicht'!H$7),Berechnung!K30,"")</f>
        <v/>
      </c>
      <c r="AJ31" s="118" t="str">
        <f>IF(AND($A31&gt;='Auswertung 3-Schicht'!I$6,$A31&lt;='Auswertung 3-Schicht'!I$7),Berechnung!L30,"")</f>
        <v/>
      </c>
      <c r="AK31" s="118" t="str">
        <f>IF(AND($A31&gt;='Auswertung 3-Schicht'!J$6,$A31&lt;='Auswertung 3-Schicht'!J$7),Berechnung!P30,"")</f>
        <v/>
      </c>
      <c r="AL31" s="118" t="str">
        <f>IF(AND($A31&gt;='Auswertung 3-Schicht'!K$6,$A31&lt;='Auswertung 3-Schicht'!K$7),Berechnung!Q30,"")</f>
        <v/>
      </c>
      <c r="AM31" s="120" t="str">
        <f>IF(AND($A31&gt;='Auswertung 3-Schicht'!D$10,$A31&lt;='Auswertung 3-Schicht'!D$11),Berechnung!C30,"")</f>
        <v/>
      </c>
      <c r="AN31" s="118" t="str">
        <f>IF(AND($A31&gt;='Auswertung 3-Schicht'!E$10,$A31&lt;='Auswertung 3-Schicht'!E$11),Berechnung!D30,"")</f>
        <v/>
      </c>
      <c r="AO31" s="118">
        <f>IF(AND($A31&gt;='Auswertung 3-Schicht'!F$10,$A31&lt;='Auswertung 3-Schicht'!F$11),Berechnung!E30,"")</f>
        <v>69.63299713641257</v>
      </c>
      <c r="AP31" s="118">
        <f>IF(AND($A31&gt;='Auswertung 3-Schicht'!G$10,$A31&lt;='Auswertung 3-Schicht'!G$11),Berechnung!F30,"")</f>
        <v>75.341939014610716</v>
      </c>
      <c r="AQ31" s="118" t="str">
        <f>IF(AND($A31&gt;='Auswertung 3-Schicht'!H$10,$A31&lt;='Auswertung 3-Schicht'!H$11),Berechnung!K30,"")</f>
        <v/>
      </c>
      <c r="AR31" s="118" t="str">
        <f>IF(AND($A31&gt;='Auswertung 3-Schicht'!I$10,$A31&lt;='Auswertung 3-Schicht'!I$11),Berechnung!L30,"")</f>
        <v/>
      </c>
      <c r="AS31" s="118" t="str">
        <f>IF(AND($A31&gt;='Auswertung 3-Schicht'!J$10,$A31&lt;='Auswertung 3-Schicht'!J$11),Berechnung!P30,"")</f>
        <v/>
      </c>
      <c r="AT31" s="118" t="str">
        <f>IF(AND($A31&gt;='Auswertung 3-Schicht'!K$10,$A31&lt;='Auswertung 3-Schicht'!K$11),Berechnung!Q30,"")</f>
        <v/>
      </c>
      <c r="AU31" s="82">
        <f t="shared" si="11"/>
        <v>17.353905403007726</v>
      </c>
      <c r="AV31" s="42">
        <f t="shared" si="12"/>
        <v>-999</v>
      </c>
      <c r="AW31" s="79">
        <f t="shared" si="13"/>
        <v>-999</v>
      </c>
      <c r="AX31" s="79">
        <f t="shared" si="14"/>
        <v>-999</v>
      </c>
      <c r="AY31" s="79">
        <f t="shared" si="15"/>
        <v>-999</v>
      </c>
      <c r="AZ31" s="42">
        <f t="shared" si="16"/>
        <v>-999</v>
      </c>
      <c r="BA31" s="83">
        <f t="shared" si="17"/>
        <v>-999</v>
      </c>
      <c r="BB31" s="80">
        <f t="shared" si="18"/>
        <v>-999</v>
      </c>
      <c r="BC31" s="42">
        <f t="shared" si="19"/>
        <v>-999</v>
      </c>
      <c r="BD31" s="42">
        <f t="shared" si="20"/>
        <v>-999</v>
      </c>
      <c r="BE31" s="42">
        <f t="shared" si="21"/>
        <v>-999</v>
      </c>
      <c r="BF31" s="42">
        <f t="shared" si="22"/>
        <v>-999</v>
      </c>
      <c r="BG31" s="42">
        <f t="shared" si="23"/>
        <v>-999</v>
      </c>
      <c r="BH31" s="83">
        <f t="shared" si="24"/>
        <v>-999</v>
      </c>
      <c r="BI31" s="82">
        <f t="shared" si="25"/>
        <v>-999</v>
      </c>
      <c r="BJ31" s="42">
        <f t="shared" si="26"/>
        <v>69.63299713641257</v>
      </c>
      <c r="BK31" s="42">
        <f t="shared" si="27"/>
        <v>75.341939014610716</v>
      </c>
      <c r="BL31" s="42">
        <f t="shared" si="28"/>
        <v>-999</v>
      </c>
      <c r="BM31" s="42">
        <f t="shared" si="29"/>
        <v>-999</v>
      </c>
      <c r="BN31" s="42">
        <f t="shared" si="30"/>
        <v>-999</v>
      </c>
      <c r="BO31" s="83">
        <f t="shared" si="31"/>
        <v>-999</v>
      </c>
      <c r="BP31" s="80">
        <f>IF('Auswertung 2-Schicht'!O$4="",-999,MIN(1000*SQRT((A31+1)^2+AVERAGE(T0_Korrektur!D$1,T0_Korrektur!F$1,T0_Korrektur!H$1)^2)/'Auswertung 2-Schicht'!$O$4,'Auswertung 2-Schicht'!$O$8+1000*SQRT((A31+1)^2+AVERAGE(T0_Korrektur!D$1,T0_Korrektur!F$1,T0_Korrektur!H$1)^2)/'Auswertung 2-Schicht'!$O$7))</f>
        <v>78.525561641680596</v>
      </c>
      <c r="BQ31" s="83">
        <f>IF('Auswertung 3-Schicht'!N$4="",-999,IF('Auswertung 3-Schicht'!N$8="",MIN(1000*SQRT((A31+1)^2+AVERAGE(T0_Korrektur!D$1,T0_Korrektur!F$1,T0_Korrektur!H$1)^2)/'Auswertung 3-Schicht'!N$4,'Auswertung 3-Schicht'!N$6+1000*SQRT((A31+1)^2+AVERAGE(T0_Korrektur!D$1,T0_Korrektur!F$1,T0_Korrektur!H$1)^2)/'Auswertung 3-Schicht'!N$5),MIN(1000*SQRT((A31+1)^2+AVERAGE(T0_Korrektur!D$1,T0_Korrektur!F$1,T0_Korrektur!H$1)^2)/'Auswertung 3-Schicht'!N$4,'Auswertung 3-Schicht'!N$6+1000*SQRT((A31+1)^2+AVERAGE(T0_Korrektur!D$1,T0_Korrektur!F$1,T0_Korrektur!H$1)^2)/'Auswertung 3-Schicht'!N$5,'Auswertung 3-Schicht'!N$9+1000*SQRT((A31+1)^2+AVERAGE(T0_Korrektur!D$1,T0_Korrektur!F$1,T0_Korrektur!H$1)^2)/'Auswertung 3-Schicht'!N$8)))</f>
        <v>73.810254971218143</v>
      </c>
      <c r="BR31" s="82">
        <f>ABS(T0_Korrektur!C30)</f>
        <v>8.9136131843377626</v>
      </c>
      <c r="BS31" s="42">
        <f>ABS(T0_Korrektur!E30)</f>
        <v>90.014221098668628</v>
      </c>
      <c r="BT31" s="42">
        <f>ABS(T0_Korrektur!I30)</f>
        <v>999</v>
      </c>
      <c r="BU31" s="79">
        <f>ABS(T0_Korrektur!M30)</f>
        <v>999</v>
      </c>
      <c r="BV31" s="120">
        <f>IF(T0_Korrektur!H30="","",T0_Korrektur!H30-Hilfsdaten!BP31)</f>
        <v>-3.1730616416805901</v>
      </c>
      <c r="BW31" s="118"/>
      <c r="BX31" s="118"/>
      <c r="BY31" s="118">
        <f>IF(T0_Korrektur!F29="","",T0_Korrektur!F29-Hilfsdaten!BP31)</f>
        <v>-8.0639616416805922</v>
      </c>
      <c r="BZ31" s="120">
        <f>IF(T0_Korrektur!H30="","",T0_Korrektur!H30-Hilfsdaten!BQ31)</f>
        <v>1.5422450287818634</v>
      </c>
      <c r="CA31" s="118"/>
      <c r="CB31" s="118"/>
      <c r="CC31" s="121">
        <f>IF(T0_Korrektur!F29="","",T0_Korrektur!F29-Hilfsdaten!BQ31)</f>
        <v>-3.3486549712181386</v>
      </c>
    </row>
    <row r="32" spans="1:82" x14ac:dyDescent="0.2">
      <c r="A32" s="130">
        <f>'Picks importieren'!B32</f>
        <v>107.5</v>
      </c>
      <c r="B32" s="120" t="str">
        <f>IF(AND($A32&gt;='Auswertung 2-Schicht'!C$3,$A32&lt;='Auswertung 2-Schicht'!C$4),Berechnung!C31,"")</f>
        <v/>
      </c>
      <c r="C32" s="118">
        <f>IF(AND($A32&gt;='Auswertung 2-Schicht'!D$3,$A32&lt;='Auswertung 2-Schicht'!D$4),Berechnung!D31,"")</f>
        <v>21.969582831201912</v>
      </c>
      <c r="D32" s="118" t="str">
        <f>IF(AND($A32&gt;='Auswertung 2-Schicht'!E$3,$A32&lt;='Auswertung 2-Schicht'!E$4),Berechnung!G31,"")</f>
        <v/>
      </c>
      <c r="E32" s="121" t="str">
        <f>IF(AND($A32&gt;='Auswertung 2-Schicht'!F$3,$A32&lt;='Auswertung 2-Schicht'!F$4),Berechnung!F31,"")</f>
        <v/>
      </c>
      <c r="F32" s="131">
        <f>IF(AND($A32&gt;='Auswertung 2-Schicht'!H$3,$A32&lt;='Auswertung 2-Schicht'!H$4),IF('Auswertung 2-Schicht'!$H$8=1,Berechnung!I31,IF('Auswertung 2-Schicht'!$H$8=2,Berechnung!N31,Berechnung!S31)),"")</f>
        <v>101.61356845685033</v>
      </c>
      <c r="G32" s="118">
        <f>IF(AND($A32&gt;='Auswertung 2-Schicht'!H$3,$A32&lt;='Auswertung 2-Schicht'!H$4),IF('Auswertung 2-Schicht'!$H$8=1,Berechnung!J31,IF('Auswertung 2-Schicht'!$H$8=2,Berechnung!O31,Berechnung!T31)),"")</f>
        <v>43.132326525743252</v>
      </c>
      <c r="H32" s="118" t="str">
        <f>IF(AND($A32&gt;='Auswertung 2-Schicht'!I$3,$A32&lt;='Auswertung 2-Schicht'!I$4),Berechnung!K31,"")</f>
        <v/>
      </c>
      <c r="I32" s="132" t="str">
        <f>IF(AND($A32&gt;='Auswertung 2-Schicht'!J$3,$A32&lt;='Auswertung 2-Schicht'!J$4),Berechnung!L31,"")</f>
        <v/>
      </c>
      <c r="J32" s="118" t="str">
        <f>IF(AND($A32&gt;='Auswertung 2-Schicht'!K$3,$A32&lt;='Auswertung 2-Schicht'!K$4),Berechnung!P31,"")</f>
        <v/>
      </c>
      <c r="K32" s="134" t="str">
        <f>IF(AND($A32&gt;='Auswertung 2-Schicht'!L$3,$A32&lt;='Auswertung 2-Schicht'!L$4),Berechnung!Q31,"")</f>
        <v/>
      </c>
      <c r="L32" s="131">
        <f>IF('Auswertung 2-Schicht'!$H$8=1,Berechnung!I31,IF('Auswertung 2-Schicht'!$H$8=2,Berechnung!N31,Berechnung!S31))</f>
        <v>101.61356845685033</v>
      </c>
      <c r="M32" s="133">
        <f>IF('Auswertung 2-Schicht'!$H$8=1,Berechnung!J31,IF('Auswertung 2-Schicht'!$H$8=2,Berechnung!O31,Berechnung!T31))</f>
        <v>43.132326525743252</v>
      </c>
      <c r="N32" s="82">
        <f t="shared" si="4"/>
        <v>21.969582831201912</v>
      </c>
      <c r="O32" s="42">
        <f t="shared" si="32"/>
        <v>-999</v>
      </c>
      <c r="P32" s="83">
        <f t="shared" si="33"/>
        <v>-999</v>
      </c>
      <c r="Q32" s="82">
        <f t="shared" si="5"/>
        <v>101.61356845685033</v>
      </c>
      <c r="R32" s="42">
        <f t="shared" si="6"/>
        <v>43.132326525743252</v>
      </c>
      <c r="S32" s="42">
        <f t="shared" si="7"/>
        <v>-999</v>
      </c>
      <c r="T32" s="42">
        <f t="shared" si="8"/>
        <v>-999</v>
      </c>
      <c r="U32" s="42">
        <f t="shared" si="9"/>
        <v>-999</v>
      </c>
      <c r="V32" s="109">
        <f t="shared" si="10"/>
        <v>-999</v>
      </c>
      <c r="W32" s="120" t="str">
        <f>IF(AND($A32&gt;='Auswertung 3-Schicht'!D$3,$A32&lt;='Auswertung 3-Schicht'!D$4),Berechnung!C31,"")</f>
        <v/>
      </c>
      <c r="X32" s="118">
        <f>IF(AND($A32&gt;='Auswertung 3-Schicht'!E$3,$A32&lt;='Auswertung 3-Schicht'!E$4),Berechnung!D31,"")</f>
        <v>21.969582831201912</v>
      </c>
      <c r="Y32" s="118" t="str">
        <f>IF(AND($A32&gt;='Auswertung 3-Schicht'!F$3,$A32&lt;='Auswertung 3-Schicht'!F$4),Berechnung!E31,"")</f>
        <v/>
      </c>
      <c r="Z32" s="132" t="str">
        <f>IF(AND($A32&gt;='Auswertung 3-Schicht'!G$3,$A32&lt;='Auswertung 3-Schicht'!G$4),Berechnung!F31,"")</f>
        <v/>
      </c>
      <c r="AA32" s="118" t="str">
        <f>IF(AND($A32&gt;='Auswertung 3-Schicht'!H$3,$A32&lt;='Auswertung 3-Schicht'!H$4),Berechnung!K31,"")</f>
        <v/>
      </c>
      <c r="AB32" s="134" t="str">
        <f>IF(AND($A32&gt;='Auswertung 3-Schicht'!I$3,$A32&lt;='Auswertung 3-Schicht'!I$4),Berechnung!L31,"")</f>
        <v/>
      </c>
      <c r="AC32" s="118" t="str">
        <f>IF(AND($A32&gt;='Auswertung 3-Schicht'!J$3,$A32&lt;='Auswertung 3-Schicht'!J$4),Berechnung!P31,"")</f>
        <v/>
      </c>
      <c r="AD32" s="121" t="str">
        <f>IF(AND($A32&gt;='Auswertung 3-Schicht'!K$3,$A32&lt;='Auswertung 3-Schicht'!K$4),Berechnung!Q31,"")</f>
        <v/>
      </c>
      <c r="AE32" s="136" t="str">
        <f>IF(AND($A32&gt;='Auswertung 3-Schicht'!D$6,$A32&lt;='Auswertung 3-Schicht'!D$7),Berechnung!C31,"")</f>
        <v/>
      </c>
      <c r="AF32" s="118" t="str">
        <f>IF(AND($A32&gt;='Auswertung 3-Schicht'!E$6,$A32&lt;='Auswertung 3-Schicht'!E$7),Berechnung!D31,"")</f>
        <v/>
      </c>
      <c r="AG32" s="118">
        <f>IF(AND($A32&gt;='Auswertung 3-Schicht'!F$6,$A32&lt;='Auswertung 3-Schicht'!F$7),Berechnung!E31,"")</f>
        <v>68.610430414888469</v>
      </c>
      <c r="AH32" s="118" t="str">
        <f>IF(AND($A32&gt;='Auswertung 3-Schicht'!G$6,$A32&lt;='Auswertung 3-Schicht'!G$7),Berechnung!F31,"")</f>
        <v/>
      </c>
      <c r="AI32" s="118" t="str">
        <f>IF(AND($A32&gt;='Auswertung 3-Schicht'!H$6,$A32&lt;='Auswertung 3-Schicht'!H$7),Berechnung!K31,"")</f>
        <v/>
      </c>
      <c r="AJ32" s="118" t="str">
        <f>IF(AND($A32&gt;='Auswertung 3-Schicht'!I$6,$A32&lt;='Auswertung 3-Schicht'!I$7),Berechnung!L31,"")</f>
        <v/>
      </c>
      <c r="AK32" s="118" t="str">
        <f>IF(AND($A32&gt;='Auswertung 3-Schicht'!J$6,$A32&lt;='Auswertung 3-Schicht'!J$7),Berechnung!P31,"")</f>
        <v/>
      </c>
      <c r="AL32" s="118" t="str">
        <f>IF(AND($A32&gt;='Auswertung 3-Schicht'!K$6,$A32&lt;='Auswertung 3-Schicht'!K$7),Berechnung!Q31,"")</f>
        <v/>
      </c>
      <c r="AM32" s="120" t="str">
        <f>IF(AND($A32&gt;='Auswertung 3-Schicht'!D$10,$A32&lt;='Auswertung 3-Schicht'!D$11),Berechnung!C31,"")</f>
        <v/>
      </c>
      <c r="AN32" s="118" t="str">
        <f>IF(AND($A32&gt;='Auswertung 3-Schicht'!E$10,$A32&lt;='Auswertung 3-Schicht'!E$11),Berechnung!D31,"")</f>
        <v/>
      </c>
      <c r="AO32" s="118" t="str">
        <f>IF(AND($A32&gt;='Auswertung 3-Schicht'!F$10,$A32&lt;='Auswertung 3-Schicht'!F$11),Berechnung!E31,"")</f>
        <v/>
      </c>
      <c r="AP32" s="118">
        <f>IF(AND($A32&gt;='Auswertung 3-Schicht'!G$10,$A32&lt;='Auswertung 3-Schicht'!G$11),Berechnung!F31,"")</f>
        <v>75.726462094426523</v>
      </c>
      <c r="AQ32" s="118" t="str">
        <f>IF(AND($A32&gt;='Auswertung 3-Schicht'!H$10,$A32&lt;='Auswertung 3-Schicht'!H$11),Berechnung!K31,"")</f>
        <v/>
      </c>
      <c r="AR32" s="118" t="str">
        <f>IF(AND($A32&gt;='Auswertung 3-Schicht'!I$10,$A32&lt;='Auswertung 3-Schicht'!I$11),Berechnung!L31,"")</f>
        <v/>
      </c>
      <c r="AS32" s="118" t="str">
        <f>IF(AND($A32&gt;='Auswertung 3-Schicht'!J$10,$A32&lt;='Auswertung 3-Schicht'!J$11),Berechnung!P31,"")</f>
        <v/>
      </c>
      <c r="AT32" s="118" t="str">
        <f>IF(AND($A32&gt;='Auswertung 3-Schicht'!K$10,$A32&lt;='Auswertung 3-Schicht'!K$11),Berechnung!Q31,"")</f>
        <v/>
      </c>
      <c r="AU32" s="82">
        <f t="shared" si="11"/>
        <v>21.969582831201912</v>
      </c>
      <c r="AV32" s="42">
        <f t="shared" si="12"/>
        <v>-999</v>
      </c>
      <c r="AW32" s="79">
        <f t="shared" si="13"/>
        <v>-999</v>
      </c>
      <c r="AX32" s="79">
        <f t="shared" si="14"/>
        <v>-999</v>
      </c>
      <c r="AY32" s="79">
        <f t="shared" si="15"/>
        <v>-999</v>
      </c>
      <c r="AZ32" s="42">
        <f t="shared" si="16"/>
        <v>-999</v>
      </c>
      <c r="BA32" s="83">
        <f t="shared" si="17"/>
        <v>-999</v>
      </c>
      <c r="BB32" s="80">
        <f t="shared" si="18"/>
        <v>-999</v>
      </c>
      <c r="BC32" s="42">
        <f t="shared" si="19"/>
        <v>68.610430414888469</v>
      </c>
      <c r="BD32" s="42">
        <f t="shared" si="20"/>
        <v>-999</v>
      </c>
      <c r="BE32" s="42">
        <f t="shared" si="21"/>
        <v>-999</v>
      </c>
      <c r="BF32" s="42">
        <f t="shared" si="22"/>
        <v>-999</v>
      </c>
      <c r="BG32" s="42">
        <f t="shared" si="23"/>
        <v>-999</v>
      </c>
      <c r="BH32" s="83">
        <f t="shared" si="24"/>
        <v>-999</v>
      </c>
      <c r="BI32" s="82">
        <f t="shared" si="25"/>
        <v>-999</v>
      </c>
      <c r="BJ32" s="42">
        <f t="shared" si="26"/>
        <v>-999</v>
      </c>
      <c r="BK32" s="42">
        <f t="shared" si="27"/>
        <v>75.726462094426523</v>
      </c>
      <c r="BL32" s="42">
        <f t="shared" si="28"/>
        <v>-999</v>
      </c>
      <c r="BM32" s="42">
        <f t="shared" si="29"/>
        <v>-999</v>
      </c>
      <c r="BN32" s="42">
        <f t="shared" si="30"/>
        <v>-999</v>
      </c>
      <c r="BO32" s="83">
        <f t="shared" si="31"/>
        <v>-999</v>
      </c>
      <c r="BP32" s="80">
        <f>IF('Auswertung 2-Schicht'!O$4="",-999,MIN(1000*SQRT((A32+1)^2+AVERAGE(T0_Korrektur!D$1,T0_Korrektur!F$1,T0_Korrektur!H$1)^2)/'Auswertung 2-Schicht'!$O$4,'Auswertung 2-Schicht'!$O$8+1000*SQRT((A32+1)^2+AVERAGE(T0_Korrektur!D$1,T0_Korrektur!F$1,T0_Korrektur!H$1)^2)/'Auswertung 2-Schicht'!$O$7))</f>
        <v>79.501971757725073</v>
      </c>
      <c r="BQ32" s="83">
        <f>IF('Auswertung 3-Schicht'!N$4="",-999,IF('Auswertung 3-Schicht'!N$8="",MIN(1000*SQRT((A32+1)^2+AVERAGE(T0_Korrektur!D$1,T0_Korrektur!F$1,T0_Korrektur!H$1)^2)/'Auswertung 3-Schicht'!N$4,'Auswertung 3-Schicht'!N$6+1000*SQRT((A32+1)^2+AVERAGE(T0_Korrektur!D$1,T0_Korrektur!F$1,T0_Korrektur!H$1)^2)/'Auswertung 3-Schicht'!N$5),MIN(1000*SQRT((A32+1)^2+AVERAGE(T0_Korrektur!D$1,T0_Korrektur!F$1,T0_Korrektur!H$1)^2)/'Auswertung 3-Schicht'!N$4,'Auswertung 3-Schicht'!N$6+1000*SQRT((A32+1)^2+AVERAGE(T0_Korrektur!D$1,T0_Korrektur!F$1,T0_Korrektur!H$1)^2)/'Auswertung 3-Schicht'!N$5,'Auswertung 3-Schicht'!N$9+1000*SQRT((A32+1)^2+AVERAGE(T0_Korrektur!D$1,T0_Korrektur!F$1,T0_Korrektur!H$1)^2)/'Auswertung 3-Schicht'!N$8)))</f>
        <v>74.575153398213956</v>
      </c>
      <c r="BR32" s="82">
        <f>ABS(T0_Korrektur!C31)</f>
        <v>11.377719455145657</v>
      </c>
      <c r="BS32" s="42">
        <f>ABS(T0_Korrektur!E31)</f>
        <v>87.514627348803813</v>
      </c>
      <c r="BT32" s="42">
        <f>ABS(T0_Korrektur!I31)</f>
        <v>999</v>
      </c>
      <c r="BU32" s="79">
        <f>ABS(T0_Korrektur!M31)</f>
        <v>999</v>
      </c>
      <c r="BV32" s="120">
        <f>IF(T0_Korrektur!H31="","",T0_Korrektur!H31-Hilfsdaten!BP32)</f>
        <v>-3.7653717577250774</v>
      </c>
      <c r="BW32" s="118"/>
      <c r="BX32" s="118"/>
      <c r="BY32" s="118">
        <f>IF(T0_Korrektur!F28="","",T0_Korrektur!F28-Hilfsdaten!BP32)</f>
        <v>-8.6826717577250747</v>
      </c>
      <c r="BZ32" s="120">
        <f>IF(T0_Korrektur!H31="","",T0_Korrektur!H31-Hilfsdaten!BQ32)</f>
        <v>1.1614466017860394</v>
      </c>
      <c r="CA32" s="118"/>
      <c r="CB32" s="118"/>
      <c r="CC32" s="121">
        <f>IF(T0_Korrektur!F28="","",T0_Korrektur!F28-Hilfsdaten!BQ32)</f>
        <v>-3.7558533982139579</v>
      </c>
    </row>
    <row r="33" spans="1:81" x14ac:dyDescent="0.2">
      <c r="A33" s="130">
        <f>'Picks importieren'!B33</f>
        <v>112.5</v>
      </c>
      <c r="B33" s="120" t="str">
        <f>IF(AND($A33&gt;='Auswertung 2-Schicht'!C$3,$A33&lt;='Auswertung 2-Schicht'!C$4),Berechnung!C32,"")</f>
        <v/>
      </c>
      <c r="C33" s="118">
        <f>IF(AND($A33&gt;='Auswertung 2-Schicht'!D$3,$A33&lt;='Auswertung 2-Schicht'!D$4),Berechnung!D32,"")</f>
        <v>29.620850184738174</v>
      </c>
      <c r="D33" s="118" t="str">
        <f>IF(AND($A33&gt;='Auswertung 2-Schicht'!E$3,$A33&lt;='Auswertung 2-Schicht'!E$4),Berechnung!G32,"")</f>
        <v/>
      </c>
      <c r="E33" s="121" t="str">
        <f>IF(AND($A33&gt;='Auswertung 2-Schicht'!F$3,$A33&lt;='Auswertung 2-Schicht'!F$4),Berechnung!F32,"")</f>
        <v/>
      </c>
      <c r="F33" s="131">
        <f>IF(AND($A33&gt;='Auswertung 2-Schicht'!H$3,$A33&lt;='Auswertung 2-Schicht'!H$4),IF('Auswertung 2-Schicht'!$H$8=1,Berechnung!I32,IF('Auswertung 2-Schicht'!$H$8=2,Berechnung!N32,Berechnung!S32)),"")</f>
        <v>104.72153487823181</v>
      </c>
      <c r="G33" s="118">
        <f>IF(AND($A33&gt;='Auswertung 2-Schicht'!H$3,$A33&lt;='Auswertung 2-Schicht'!H$4),IF('Auswertung 2-Schicht'!$H$8=1,Berechnung!J32,IF('Auswertung 2-Schicht'!$H$8=2,Berechnung!O32,Berechnung!T32)),"")</f>
        <v>41.741074507666781</v>
      </c>
      <c r="H33" s="118" t="str">
        <f>IF(AND($A33&gt;='Auswertung 2-Schicht'!I$3,$A33&lt;='Auswertung 2-Schicht'!I$4),Berechnung!K32,"")</f>
        <v/>
      </c>
      <c r="I33" s="132" t="str">
        <f>IF(AND($A33&gt;='Auswertung 2-Schicht'!J$3,$A33&lt;='Auswertung 2-Schicht'!J$4),Berechnung!L32,"")</f>
        <v/>
      </c>
      <c r="J33" s="118" t="str">
        <f>IF(AND($A33&gt;='Auswertung 2-Schicht'!K$3,$A33&lt;='Auswertung 2-Schicht'!K$4),Berechnung!P32,"")</f>
        <v/>
      </c>
      <c r="K33" s="134" t="str">
        <f>IF(AND($A33&gt;='Auswertung 2-Schicht'!L$3,$A33&lt;='Auswertung 2-Schicht'!L$4),Berechnung!Q32,"")</f>
        <v/>
      </c>
      <c r="L33" s="131">
        <f>IF('Auswertung 2-Schicht'!$H$8=1,Berechnung!I32,IF('Auswertung 2-Schicht'!$H$8=2,Berechnung!N32,Berechnung!S32))</f>
        <v>104.72153487823181</v>
      </c>
      <c r="M33" s="133">
        <f>IF('Auswertung 2-Schicht'!$H$8=1,Berechnung!J32,IF('Auswertung 2-Schicht'!$H$8=2,Berechnung!O32,Berechnung!T32))</f>
        <v>41.741074507666781</v>
      </c>
      <c r="N33" s="82">
        <f t="shared" si="4"/>
        <v>29.620850184738174</v>
      </c>
      <c r="O33" s="42">
        <f t="shared" si="32"/>
        <v>-999</v>
      </c>
      <c r="P33" s="83">
        <f t="shared" si="33"/>
        <v>-999</v>
      </c>
      <c r="Q33" s="82">
        <f t="shared" si="5"/>
        <v>104.72153487823181</v>
      </c>
      <c r="R33" s="42">
        <f t="shared" si="6"/>
        <v>41.741074507666781</v>
      </c>
      <c r="S33" s="42">
        <f t="shared" si="7"/>
        <v>-999</v>
      </c>
      <c r="T33" s="42">
        <f t="shared" si="8"/>
        <v>-999</v>
      </c>
      <c r="U33" s="42">
        <f t="shared" si="9"/>
        <v>-999</v>
      </c>
      <c r="V33" s="109">
        <f t="shared" si="10"/>
        <v>-999</v>
      </c>
      <c r="W33" s="120" t="str">
        <f>IF(AND($A33&gt;='Auswertung 3-Schicht'!D$3,$A33&lt;='Auswertung 3-Schicht'!D$4),Berechnung!C32,"")</f>
        <v/>
      </c>
      <c r="X33" s="118">
        <f>IF(AND($A33&gt;='Auswertung 3-Schicht'!E$3,$A33&lt;='Auswertung 3-Schicht'!E$4),Berechnung!D32,"")</f>
        <v>29.620850184738174</v>
      </c>
      <c r="Y33" s="118" t="str">
        <f>IF(AND($A33&gt;='Auswertung 3-Schicht'!F$3,$A33&lt;='Auswertung 3-Schicht'!F$4),Berechnung!E32,"")</f>
        <v/>
      </c>
      <c r="Z33" s="132" t="str">
        <f>IF(AND($A33&gt;='Auswertung 3-Schicht'!G$3,$A33&lt;='Auswertung 3-Schicht'!G$4),Berechnung!F32,"")</f>
        <v/>
      </c>
      <c r="AA33" s="118" t="str">
        <f>IF(AND($A33&gt;='Auswertung 3-Schicht'!H$3,$A33&lt;='Auswertung 3-Schicht'!H$4),Berechnung!K32,"")</f>
        <v/>
      </c>
      <c r="AB33" s="134" t="str">
        <f>IF(AND($A33&gt;='Auswertung 3-Schicht'!I$3,$A33&lt;='Auswertung 3-Schicht'!I$4),Berechnung!L32,"")</f>
        <v/>
      </c>
      <c r="AC33" s="118" t="str">
        <f>IF(AND($A33&gt;='Auswertung 3-Schicht'!J$3,$A33&lt;='Auswertung 3-Schicht'!J$4),Berechnung!P32,"")</f>
        <v/>
      </c>
      <c r="AD33" s="121" t="str">
        <f>IF(AND($A33&gt;='Auswertung 3-Schicht'!K$3,$A33&lt;='Auswertung 3-Schicht'!K$4),Berechnung!Q32,"")</f>
        <v/>
      </c>
      <c r="AE33" s="136" t="str">
        <f>IF(AND($A33&gt;='Auswertung 3-Schicht'!D$6,$A33&lt;='Auswertung 3-Schicht'!D$7),Berechnung!C32,"")</f>
        <v/>
      </c>
      <c r="AF33" s="118">
        <f>IF(AND($A33&gt;='Auswertung 3-Schicht'!E$6,$A33&lt;='Auswertung 3-Schicht'!E$7),Berechnung!D32,"")</f>
        <v>29.620850184738174</v>
      </c>
      <c r="AG33" s="118">
        <f>IF(AND($A33&gt;='Auswertung 3-Schicht'!F$6,$A33&lt;='Auswertung 3-Schicht'!F$7),Berechnung!E32,"")</f>
        <v>66.360821195159502</v>
      </c>
      <c r="AH33" s="118" t="str">
        <f>IF(AND($A33&gt;='Auswertung 3-Schicht'!G$6,$A33&lt;='Auswertung 3-Schicht'!G$7),Berechnung!F32,"")</f>
        <v/>
      </c>
      <c r="AI33" s="118" t="str">
        <f>IF(AND($A33&gt;='Auswertung 3-Schicht'!H$6,$A33&lt;='Auswertung 3-Schicht'!H$7),Berechnung!K32,"")</f>
        <v/>
      </c>
      <c r="AJ33" s="118" t="str">
        <f>IF(AND($A33&gt;='Auswertung 3-Schicht'!I$6,$A33&lt;='Auswertung 3-Schicht'!I$7),Berechnung!L32,"")</f>
        <v/>
      </c>
      <c r="AK33" s="118" t="str">
        <f>IF(AND($A33&gt;='Auswertung 3-Schicht'!J$6,$A33&lt;='Auswertung 3-Schicht'!J$7),Berechnung!P32,"")</f>
        <v/>
      </c>
      <c r="AL33" s="118" t="str">
        <f>IF(AND($A33&gt;='Auswertung 3-Schicht'!K$6,$A33&lt;='Auswertung 3-Schicht'!K$7),Berechnung!Q32,"")</f>
        <v/>
      </c>
      <c r="AM33" s="120" t="str">
        <f>IF(AND($A33&gt;='Auswertung 3-Schicht'!D$10,$A33&lt;='Auswertung 3-Schicht'!D$11),Berechnung!C32,"")</f>
        <v/>
      </c>
      <c r="AN33" s="118" t="str">
        <f>IF(AND($A33&gt;='Auswertung 3-Schicht'!E$10,$A33&lt;='Auswertung 3-Schicht'!E$11),Berechnung!D32,"")</f>
        <v/>
      </c>
      <c r="AO33" s="118" t="str">
        <f>IF(AND($A33&gt;='Auswertung 3-Schicht'!F$10,$A33&lt;='Auswertung 3-Schicht'!F$11),Berechnung!E32,"")</f>
        <v/>
      </c>
      <c r="AP33" s="118">
        <f>IF(AND($A33&gt;='Auswertung 3-Schicht'!G$10,$A33&lt;='Auswertung 3-Schicht'!G$11),Berechnung!F32,"")</f>
        <v>76.584819296079033</v>
      </c>
      <c r="AQ33" s="118" t="str">
        <f>IF(AND($A33&gt;='Auswertung 3-Schicht'!H$10,$A33&lt;='Auswertung 3-Schicht'!H$11),Berechnung!K32,"")</f>
        <v/>
      </c>
      <c r="AR33" s="118" t="str">
        <f>IF(AND($A33&gt;='Auswertung 3-Schicht'!I$10,$A33&lt;='Auswertung 3-Schicht'!I$11),Berechnung!L32,"")</f>
        <v/>
      </c>
      <c r="AS33" s="118" t="str">
        <f>IF(AND($A33&gt;='Auswertung 3-Schicht'!J$10,$A33&lt;='Auswertung 3-Schicht'!J$11),Berechnung!P32,"")</f>
        <v/>
      </c>
      <c r="AT33" s="118" t="str">
        <f>IF(AND($A33&gt;='Auswertung 3-Schicht'!K$10,$A33&lt;='Auswertung 3-Schicht'!K$11),Berechnung!Q32,"")</f>
        <v/>
      </c>
      <c r="AU33" s="82">
        <f t="shared" si="11"/>
        <v>29.620850184738174</v>
      </c>
      <c r="AV33" s="42">
        <f t="shared" si="12"/>
        <v>-999</v>
      </c>
      <c r="AW33" s="79">
        <f t="shared" si="13"/>
        <v>-999</v>
      </c>
      <c r="AX33" s="79">
        <f t="shared" si="14"/>
        <v>-999</v>
      </c>
      <c r="AY33" s="79">
        <f t="shared" si="15"/>
        <v>-999</v>
      </c>
      <c r="AZ33" s="42">
        <f t="shared" si="16"/>
        <v>-999</v>
      </c>
      <c r="BA33" s="83">
        <f t="shared" si="17"/>
        <v>-999</v>
      </c>
      <c r="BB33" s="80">
        <f t="shared" si="18"/>
        <v>29.620850184738174</v>
      </c>
      <c r="BC33" s="42">
        <f t="shared" si="19"/>
        <v>66.360821195159502</v>
      </c>
      <c r="BD33" s="42">
        <f t="shared" si="20"/>
        <v>-999</v>
      </c>
      <c r="BE33" s="42">
        <f t="shared" si="21"/>
        <v>-999</v>
      </c>
      <c r="BF33" s="42">
        <f t="shared" si="22"/>
        <v>-999</v>
      </c>
      <c r="BG33" s="42">
        <f t="shared" si="23"/>
        <v>-999</v>
      </c>
      <c r="BH33" s="83">
        <f t="shared" si="24"/>
        <v>-999</v>
      </c>
      <c r="BI33" s="82">
        <f t="shared" si="25"/>
        <v>-999</v>
      </c>
      <c r="BJ33" s="42">
        <f t="shared" si="26"/>
        <v>-999</v>
      </c>
      <c r="BK33" s="42">
        <f t="shared" si="27"/>
        <v>76.584819296079033</v>
      </c>
      <c r="BL33" s="42">
        <f t="shared" si="28"/>
        <v>-999</v>
      </c>
      <c r="BM33" s="42">
        <f t="shared" si="29"/>
        <v>-999</v>
      </c>
      <c r="BN33" s="42">
        <f t="shared" si="30"/>
        <v>-999</v>
      </c>
      <c r="BO33" s="83">
        <f t="shared" si="31"/>
        <v>-999</v>
      </c>
      <c r="BP33" s="80">
        <f>IF('Auswertung 2-Schicht'!O$4="",-999,MIN(1000*SQRT((A33+1)^2+AVERAGE(T0_Korrektur!D$1,T0_Korrektur!F$1,T0_Korrektur!H$1)^2)/'Auswertung 2-Schicht'!$O$4,'Auswertung 2-Schicht'!$O$8+1000*SQRT((A33+1)^2+AVERAGE(T0_Korrektur!D$1,T0_Korrektur!F$1,T0_Korrektur!H$1)^2)/'Auswertung 2-Schicht'!$O$7))</f>
        <v>81.454808198832168</v>
      </c>
      <c r="BQ33" s="83">
        <f>IF('Auswertung 3-Schicht'!N$4="",-999,IF('Auswertung 3-Schicht'!N$8="",MIN(1000*SQRT((A33+1)^2+AVERAGE(T0_Korrektur!D$1,T0_Korrektur!F$1,T0_Korrektur!H$1)^2)/'Auswertung 3-Schicht'!N$4,'Auswertung 3-Schicht'!N$6+1000*SQRT((A33+1)^2+AVERAGE(T0_Korrektur!D$1,T0_Korrektur!F$1,T0_Korrektur!H$1)^2)/'Auswertung 3-Schicht'!N$5),MIN(1000*SQRT((A33+1)^2+AVERAGE(T0_Korrektur!D$1,T0_Korrektur!F$1,T0_Korrektur!H$1)^2)/'Auswertung 3-Schicht'!N$4,'Auswertung 3-Schicht'!N$6+1000*SQRT((A33+1)^2+AVERAGE(T0_Korrektur!D$1,T0_Korrektur!F$1,T0_Korrektur!H$1)^2)/'Auswertung 3-Schicht'!N$5,'Auswertung 3-Schicht'!N$9+1000*SQRT((A33+1)^2+AVERAGE(T0_Korrektur!D$1,T0_Korrektur!F$1,T0_Korrektur!H$1)^2)/'Auswertung 3-Schicht'!N$8)))</f>
        <v>76.104962949997542</v>
      </c>
      <c r="BR33" s="82">
        <f>ABS(T0_Korrektur!C32)</f>
        <v>16.338681097322389</v>
      </c>
      <c r="BS33" s="42">
        <f>ABS(T0_Korrektur!E32)</f>
        <v>82.515513692880816</v>
      </c>
      <c r="BT33" s="42">
        <f>ABS(T0_Korrektur!I32)</f>
        <v>999</v>
      </c>
      <c r="BU33" s="79">
        <f>ABS(T0_Korrektur!M32)</f>
        <v>999</v>
      </c>
      <c r="BV33" s="120">
        <f>IF(T0_Korrektur!H32="","",T0_Korrektur!H32-Hilfsdaten!BP33)</f>
        <v>-4.8606081988321677</v>
      </c>
      <c r="BW33" s="118"/>
      <c r="BX33" s="118"/>
      <c r="BY33" s="118">
        <f>IF(T0_Korrektur!F27="","",T0_Korrektur!F27-Hilfsdaten!BP33)</f>
        <v>-9.7412081988321688</v>
      </c>
      <c r="BZ33" s="120">
        <f>IF(T0_Korrektur!H32="","",T0_Korrektur!H32-Hilfsdaten!BQ33)</f>
        <v>0.48923705000245832</v>
      </c>
      <c r="CA33" s="118"/>
      <c r="CB33" s="118"/>
      <c r="CC33" s="121">
        <f>IF(T0_Korrektur!F27="","",T0_Korrektur!F27-Hilfsdaten!BQ33)</f>
        <v>-4.3913629499975428</v>
      </c>
    </row>
    <row r="34" spans="1:81" x14ac:dyDescent="0.2">
      <c r="A34" s="130">
        <f>'Picks importieren'!B34</f>
        <v>117.5</v>
      </c>
      <c r="B34" s="120" t="str">
        <f>IF(AND($A34&gt;='Auswertung 2-Schicht'!C$3,$A34&lt;='Auswertung 2-Schicht'!C$4),Berechnung!C33,"")</f>
        <v/>
      </c>
      <c r="C34" s="118" t="str">
        <f>IF(AND($A34&gt;='Auswertung 2-Schicht'!D$3,$A34&lt;='Auswertung 2-Schicht'!D$4),Berechnung!D33,"")</f>
        <v/>
      </c>
      <c r="D34" s="118" t="str">
        <f>IF(AND($A34&gt;='Auswertung 2-Schicht'!E$3,$A34&lt;='Auswertung 2-Schicht'!E$4),Berechnung!G33,"")</f>
        <v/>
      </c>
      <c r="E34" s="121" t="str">
        <f>IF(AND($A34&gt;='Auswertung 2-Schicht'!F$3,$A34&lt;='Auswertung 2-Schicht'!F$4),Berechnung!F33,"")</f>
        <v/>
      </c>
      <c r="F34" s="131">
        <f>IF(AND($A34&gt;='Auswertung 2-Schicht'!H$3,$A34&lt;='Auswertung 2-Schicht'!H$4),IF('Auswertung 2-Schicht'!$H$8=1,Berechnung!I33,IF('Auswertung 2-Schicht'!$H$8=2,Berechnung!N33,Berechnung!S33)),"")</f>
        <v>108.40280121359619</v>
      </c>
      <c r="G34" s="118">
        <f>IF(AND($A34&gt;='Auswertung 2-Schicht'!H$3,$A34&lt;='Auswertung 2-Schicht'!H$4),IF('Auswertung 2-Schicht'!$H$8=1,Berechnung!J33,IF('Auswertung 2-Schicht'!$H$8=2,Berechnung!O33,Berechnung!T33)),"")</f>
        <v>40.514062876845145</v>
      </c>
      <c r="H34" s="118" t="str">
        <f>IF(AND($A34&gt;='Auswertung 2-Schicht'!I$3,$A34&lt;='Auswertung 2-Schicht'!I$4),Berechnung!K33,"")</f>
        <v/>
      </c>
      <c r="I34" s="132" t="str">
        <f>IF(AND($A34&gt;='Auswertung 2-Schicht'!J$3,$A34&lt;='Auswertung 2-Schicht'!J$4),Berechnung!L33,"")</f>
        <v/>
      </c>
      <c r="J34" s="118" t="str">
        <f>IF(AND($A34&gt;='Auswertung 2-Schicht'!K$3,$A34&lt;='Auswertung 2-Schicht'!K$4),Berechnung!P33,"")</f>
        <v/>
      </c>
      <c r="K34" s="134" t="str">
        <f>IF(AND($A34&gt;='Auswertung 2-Schicht'!L$3,$A34&lt;='Auswertung 2-Schicht'!L$4),Berechnung!Q33,"")</f>
        <v/>
      </c>
      <c r="L34" s="131">
        <f>IF('Auswertung 2-Schicht'!$H$8=1,Berechnung!I33,IF('Auswertung 2-Schicht'!$H$8=2,Berechnung!N33,Berechnung!S33))</f>
        <v>108.40280121359619</v>
      </c>
      <c r="M34" s="133">
        <f>IF('Auswertung 2-Schicht'!$H$8=1,Berechnung!J33,IF('Auswertung 2-Schicht'!$H$8=2,Berechnung!O33,Berechnung!T33))</f>
        <v>40.514062876845145</v>
      </c>
      <c r="N34" s="82">
        <f t="shared" si="4"/>
        <v>-999</v>
      </c>
      <c r="O34" s="42">
        <f t="shared" si="32"/>
        <v>-999</v>
      </c>
      <c r="P34" s="83">
        <f t="shared" si="33"/>
        <v>-999</v>
      </c>
      <c r="Q34" s="82">
        <f t="shared" si="5"/>
        <v>108.40280121359619</v>
      </c>
      <c r="R34" s="42">
        <f t="shared" si="6"/>
        <v>40.514062876845145</v>
      </c>
      <c r="S34" s="42">
        <f t="shared" si="7"/>
        <v>-999</v>
      </c>
      <c r="T34" s="42">
        <f t="shared" si="8"/>
        <v>-999</v>
      </c>
      <c r="U34" s="42">
        <f t="shared" si="9"/>
        <v>-999</v>
      </c>
      <c r="V34" s="109">
        <f t="shared" si="10"/>
        <v>-999</v>
      </c>
      <c r="W34" s="120" t="str">
        <f>IF(AND($A34&gt;='Auswertung 3-Schicht'!D$3,$A34&lt;='Auswertung 3-Schicht'!D$4),Berechnung!C33,"")</f>
        <v/>
      </c>
      <c r="X34" s="118" t="str">
        <f>IF(AND($A34&gt;='Auswertung 3-Schicht'!E$3,$A34&lt;='Auswertung 3-Schicht'!E$4),Berechnung!D33,"")</f>
        <v/>
      </c>
      <c r="Y34" s="118" t="str">
        <f>IF(AND($A34&gt;='Auswertung 3-Schicht'!F$3,$A34&lt;='Auswertung 3-Schicht'!F$4),Berechnung!E33,"")</f>
        <v/>
      </c>
      <c r="Z34" s="132" t="str">
        <f>IF(AND($A34&gt;='Auswertung 3-Schicht'!G$3,$A34&lt;='Auswertung 3-Schicht'!G$4),Berechnung!F33,"")</f>
        <v/>
      </c>
      <c r="AA34" s="118" t="str">
        <f>IF(AND($A34&gt;='Auswertung 3-Schicht'!H$3,$A34&lt;='Auswertung 3-Schicht'!H$4),Berechnung!K33,"")</f>
        <v/>
      </c>
      <c r="AB34" s="134" t="str">
        <f>IF(AND($A34&gt;='Auswertung 3-Schicht'!I$3,$A34&lt;='Auswertung 3-Schicht'!I$4),Berechnung!L33,"")</f>
        <v/>
      </c>
      <c r="AC34" s="118" t="str">
        <f>IF(AND($A34&gt;='Auswertung 3-Schicht'!J$3,$A34&lt;='Auswertung 3-Schicht'!J$4),Berechnung!P33,"")</f>
        <v/>
      </c>
      <c r="AD34" s="121" t="str">
        <f>IF(AND($A34&gt;='Auswertung 3-Schicht'!K$3,$A34&lt;='Auswertung 3-Schicht'!K$4),Berechnung!Q33,"")</f>
        <v/>
      </c>
      <c r="AE34" s="136" t="str">
        <f>IF(AND($A34&gt;='Auswertung 3-Schicht'!D$6,$A34&lt;='Auswertung 3-Schicht'!D$7),Berechnung!C33,"")</f>
        <v/>
      </c>
      <c r="AF34" s="118">
        <f>IF(AND($A34&gt;='Auswertung 3-Schicht'!E$6,$A34&lt;='Auswertung 3-Schicht'!E$7),Berechnung!D33,"")</f>
        <v>33.151683807443028</v>
      </c>
      <c r="AG34" s="118">
        <f>IF(AND($A34&gt;='Auswertung 3-Schicht'!F$6,$A34&lt;='Auswertung 3-Schicht'!F$7),Berechnung!E33,"")</f>
        <v>63.906682212066485</v>
      </c>
      <c r="AH34" s="118" t="str">
        <f>IF(AND($A34&gt;='Auswertung 3-Schicht'!G$6,$A34&lt;='Auswertung 3-Schicht'!G$7),Berechnung!F33,"")</f>
        <v/>
      </c>
      <c r="AI34" s="118" t="str">
        <f>IF(AND($A34&gt;='Auswertung 3-Schicht'!H$6,$A34&lt;='Auswertung 3-Schicht'!H$7),Berechnung!K33,"")</f>
        <v/>
      </c>
      <c r="AJ34" s="118" t="str">
        <f>IF(AND($A34&gt;='Auswertung 3-Schicht'!I$6,$A34&lt;='Auswertung 3-Schicht'!I$7),Berechnung!L33,"")</f>
        <v/>
      </c>
      <c r="AK34" s="118" t="str">
        <f>IF(AND($A34&gt;='Auswertung 3-Schicht'!J$6,$A34&lt;='Auswertung 3-Schicht'!J$7),Berechnung!P33,"")</f>
        <v/>
      </c>
      <c r="AL34" s="118" t="str">
        <f>IF(AND($A34&gt;='Auswertung 3-Schicht'!K$6,$A34&lt;='Auswertung 3-Schicht'!K$7),Berechnung!Q33,"")</f>
        <v/>
      </c>
      <c r="AM34" s="120" t="str">
        <f>IF(AND($A34&gt;='Auswertung 3-Schicht'!D$10,$A34&lt;='Auswertung 3-Schicht'!D$11),Berechnung!C33,"")</f>
        <v/>
      </c>
      <c r="AN34" s="118" t="str">
        <f>IF(AND($A34&gt;='Auswertung 3-Schicht'!E$10,$A34&lt;='Auswertung 3-Schicht'!E$11),Berechnung!D33,"")</f>
        <v/>
      </c>
      <c r="AO34" s="118" t="str">
        <f>IF(AND($A34&gt;='Auswertung 3-Schicht'!F$10,$A34&lt;='Auswertung 3-Schicht'!F$11),Berechnung!E33,"")</f>
        <v/>
      </c>
      <c r="AP34" s="118">
        <f>IF(AND($A34&gt;='Auswertung 3-Schicht'!G$10,$A34&lt;='Auswertung 3-Schicht'!G$11),Berechnung!F33,"")</f>
        <v>77.8119466483504</v>
      </c>
      <c r="AQ34" s="118" t="str">
        <f>IF(AND($A34&gt;='Auswertung 3-Schicht'!H$10,$A34&lt;='Auswertung 3-Schicht'!H$11),Berechnung!K33,"")</f>
        <v/>
      </c>
      <c r="AR34" s="118" t="str">
        <f>IF(AND($A34&gt;='Auswertung 3-Schicht'!I$10,$A34&lt;='Auswertung 3-Schicht'!I$11),Berechnung!L33,"")</f>
        <v/>
      </c>
      <c r="AS34" s="118" t="str">
        <f>IF(AND($A34&gt;='Auswertung 3-Schicht'!J$10,$A34&lt;='Auswertung 3-Schicht'!J$11),Berechnung!P33,"")</f>
        <v/>
      </c>
      <c r="AT34" s="118" t="str">
        <f>IF(AND($A34&gt;='Auswertung 3-Schicht'!K$10,$A34&lt;='Auswertung 3-Schicht'!K$11),Berechnung!Q33,"")</f>
        <v/>
      </c>
      <c r="AU34" s="82">
        <f t="shared" si="11"/>
        <v>-999</v>
      </c>
      <c r="AV34" s="42">
        <f t="shared" si="12"/>
        <v>-999</v>
      </c>
      <c r="AW34" s="79">
        <f t="shared" si="13"/>
        <v>-999</v>
      </c>
      <c r="AX34" s="79">
        <f t="shared" si="14"/>
        <v>-999</v>
      </c>
      <c r="AY34" s="79">
        <f t="shared" si="15"/>
        <v>-999</v>
      </c>
      <c r="AZ34" s="42">
        <f t="shared" si="16"/>
        <v>-999</v>
      </c>
      <c r="BA34" s="83">
        <f t="shared" si="17"/>
        <v>-999</v>
      </c>
      <c r="BB34" s="80">
        <f t="shared" si="18"/>
        <v>33.151683807443028</v>
      </c>
      <c r="BC34" s="42">
        <f t="shared" si="19"/>
        <v>63.906682212066485</v>
      </c>
      <c r="BD34" s="42">
        <f t="shared" si="20"/>
        <v>-999</v>
      </c>
      <c r="BE34" s="42">
        <f t="shared" si="21"/>
        <v>-999</v>
      </c>
      <c r="BF34" s="42">
        <f t="shared" si="22"/>
        <v>-999</v>
      </c>
      <c r="BG34" s="42">
        <f t="shared" si="23"/>
        <v>-999</v>
      </c>
      <c r="BH34" s="83">
        <f t="shared" si="24"/>
        <v>-999</v>
      </c>
      <c r="BI34" s="82">
        <f t="shared" si="25"/>
        <v>-999</v>
      </c>
      <c r="BJ34" s="42">
        <f t="shared" si="26"/>
        <v>-999</v>
      </c>
      <c r="BK34" s="42">
        <f t="shared" si="27"/>
        <v>77.8119466483504</v>
      </c>
      <c r="BL34" s="42">
        <f t="shared" si="28"/>
        <v>-999</v>
      </c>
      <c r="BM34" s="42">
        <f t="shared" si="29"/>
        <v>-999</v>
      </c>
      <c r="BN34" s="42">
        <f t="shared" si="30"/>
        <v>-999</v>
      </c>
      <c r="BO34" s="83">
        <f t="shared" si="31"/>
        <v>-999</v>
      </c>
      <c r="BP34" s="80">
        <f>IF('Auswertung 2-Schicht'!O$4="",-999,MIN(1000*SQRT((A34+1)^2+AVERAGE(T0_Korrektur!D$1,T0_Korrektur!F$1,T0_Korrektur!H$1)^2)/'Auswertung 2-Schicht'!$O$4,'Auswertung 2-Schicht'!$O$8+1000*SQRT((A34+1)^2+AVERAGE(T0_Korrektur!D$1,T0_Korrektur!F$1,T0_Korrektur!H$1)^2)/'Auswertung 2-Schicht'!$O$7))</f>
        <v>83.407663972712939</v>
      </c>
      <c r="BQ34" s="83">
        <f>IF('Auswertung 3-Schicht'!N$4="",-999,IF('Auswertung 3-Schicht'!N$8="",MIN(1000*SQRT((A34+1)^2+AVERAGE(T0_Korrektur!D$1,T0_Korrektur!F$1,T0_Korrektur!H$1)^2)/'Auswertung 3-Schicht'!N$4,'Auswertung 3-Schicht'!N$6+1000*SQRT((A34+1)^2+AVERAGE(T0_Korrektur!D$1,T0_Korrektur!F$1,T0_Korrektur!H$1)^2)/'Auswertung 3-Schicht'!N$5),MIN(1000*SQRT((A34+1)^2+AVERAGE(T0_Korrektur!D$1,T0_Korrektur!F$1,T0_Korrektur!H$1)^2)/'Auswertung 3-Schicht'!N$4,'Auswertung 3-Schicht'!N$6+1000*SQRT((A34+1)^2+AVERAGE(T0_Korrektur!D$1,T0_Korrektur!F$1,T0_Korrektur!H$1)^2)/'Auswertung 3-Schicht'!N$5,'Auswertung 3-Schicht'!N$9+1000*SQRT((A34+1)^2+AVERAGE(T0_Korrektur!D$1,T0_Korrektur!F$1,T0_Korrektur!H$1)^2)/'Auswertung 3-Schicht'!N$8)))</f>
        <v>77.634787646655099</v>
      </c>
      <c r="BR34" s="82">
        <f>ABS(T0_Korrektur!C33)</f>
        <v>21.31789154677357</v>
      </c>
      <c r="BS34" s="42">
        <f>ABS(T0_Korrektur!E33)</f>
        <v>77.516514369519996</v>
      </c>
      <c r="BT34" s="42">
        <f>ABS(T0_Korrektur!I33)</f>
        <v>999</v>
      </c>
      <c r="BU34" s="79">
        <f>ABS(T0_Korrektur!M33)</f>
        <v>999</v>
      </c>
      <c r="BV34" s="120">
        <f>IF(T0_Korrektur!H33="","",T0_Korrektur!H33-Hilfsdaten!BP34)</f>
        <v>-5.5869639727129368</v>
      </c>
      <c r="BW34" s="118"/>
      <c r="BX34" s="118"/>
      <c r="BY34" s="118">
        <f>IF(T0_Korrektur!F26="","",T0_Korrektur!F26-Hilfsdaten!BP34)</f>
        <v>-10.799763972712938</v>
      </c>
      <c r="BZ34" s="120">
        <f>IF(T0_Korrektur!H33="","",T0_Korrektur!H33-Hilfsdaten!BQ34)</f>
        <v>0.18591235334490364</v>
      </c>
      <c r="CA34" s="118"/>
      <c r="CB34" s="118"/>
      <c r="CC34" s="121">
        <f>IF(T0_Korrektur!F26="","",T0_Korrektur!F26-Hilfsdaten!BQ34)</f>
        <v>-5.0268876466550978</v>
      </c>
    </row>
    <row r="35" spans="1:81" x14ac:dyDescent="0.2">
      <c r="A35" s="130">
        <f>'Picks importieren'!B35</f>
        <v>122.5</v>
      </c>
      <c r="B35" s="120" t="str">
        <f>IF(AND($A35&gt;='Auswertung 2-Schicht'!C$3,$A35&lt;='Auswertung 2-Schicht'!C$4),Berechnung!C34,"")</f>
        <v/>
      </c>
      <c r="C35" s="118" t="str">
        <f>IF(AND($A35&gt;='Auswertung 2-Schicht'!D$3,$A35&lt;='Auswertung 2-Schicht'!D$4),Berechnung!D34,"")</f>
        <v/>
      </c>
      <c r="D35" s="118" t="str">
        <f>IF(AND($A35&gt;='Auswertung 2-Schicht'!E$3,$A35&lt;='Auswertung 2-Schicht'!E$4),Berechnung!G34,"")</f>
        <v/>
      </c>
      <c r="E35" s="121" t="str">
        <f>IF(AND($A35&gt;='Auswertung 2-Schicht'!F$3,$A35&lt;='Auswertung 2-Schicht'!F$4),Berechnung!F34,"")</f>
        <v/>
      </c>
      <c r="F35" s="131">
        <f>IF(AND($A35&gt;='Auswertung 2-Schicht'!H$3,$A35&lt;='Auswertung 2-Schicht'!H$4),IF('Auswertung 2-Schicht'!$H$8=1,Berechnung!I34,IF('Auswertung 2-Schicht'!$H$8=2,Berechnung!N34,Berechnung!S34)),"")</f>
        <v>112.90184926840656</v>
      </c>
      <c r="G35" s="118">
        <f>IF(AND($A35&gt;='Auswertung 2-Schicht'!H$3,$A35&lt;='Auswertung 2-Schicht'!H$4),IF('Auswertung 2-Schicht'!$H$8=1,Berechnung!J34,IF('Auswertung 2-Schicht'!$H$8=2,Berechnung!O34,Berechnung!T34)),"")</f>
        <v>40.513120936964867</v>
      </c>
      <c r="H35" s="118" t="str">
        <f>IF(AND($A35&gt;='Auswertung 2-Schicht'!I$3,$A35&lt;='Auswertung 2-Schicht'!I$4),Berechnung!K34,"")</f>
        <v/>
      </c>
      <c r="I35" s="132" t="str">
        <f>IF(AND($A35&gt;='Auswertung 2-Schicht'!J$3,$A35&lt;='Auswertung 2-Schicht'!J$4),Berechnung!L34,"")</f>
        <v/>
      </c>
      <c r="J35" s="118" t="str">
        <f>IF(AND($A35&gt;='Auswertung 2-Schicht'!K$3,$A35&lt;='Auswertung 2-Schicht'!K$4),Berechnung!P34,"")</f>
        <v/>
      </c>
      <c r="K35" s="134" t="str">
        <f>IF(AND($A35&gt;='Auswertung 2-Schicht'!L$3,$A35&lt;='Auswertung 2-Schicht'!L$4),Berechnung!Q34,"")</f>
        <v/>
      </c>
      <c r="L35" s="131">
        <f>IF('Auswertung 2-Schicht'!$H$8=1,Berechnung!I34,IF('Auswertung 2-Schicht'!$H$8=2,Berechnung!N34,Berechnung!S34))</f>
        <v>112.90184926840656</v>
      </c>
      <c r="M35" s="133">
        <f>IF('Auswertung 2-Schicht'!$H$8=1,Berechnung!J34,IF('Auswertung 2-Schicht'!$H$8=2,Berechnung!O34,Berechnung!T34))</f>
        <v>40.513120936964867</v>
      </c>
      <c r="N35" s="82">
        <f t="shared" si="4"/>
        <v>-999</v>
      </c>
      <c r="O35" s="42">
        <f t="shared" si="32"/>
        <v>-999</v>
      </c>
      <c r="P35" s="83">
        <f t="shared" si="33"/>
        <v>-999</v>
      </c>
      <c r="Q35" s="82">
        <f t="shared" si="5"/>
        <v>112.90184926840656</v>
      </c>
      <c r="R35" s="42">
        <f t="shared" si="6"/>
        <v>40.513120936964867</v>
      </c>
      <c r="S35" s="42">
        <f t="shared" si="7"/>
        <v>-999</v>
      </c>
      <c r="T35" s="42">
        <f t="shared" si="8"/>
        <v>-999</v>
      </c>
      <c r="U35" s="42">
        <f t="shared" si="9"/>
        <v>-999</v>
      </c>
      <c r="V35" s="109">
        <f t="shared" si="10"/>
        <v>-999</v>
      </c>
      <c r="W35" s="120" t="str">
        <f>IF(AND($A35&gt;='Auswertung 3-Schicht'!D$3,$A35&lt;='Auswertung 3-Schicht'!D$4),Berechnung!C34,"")</f>
        <v/>
      </c>
      <c r="X35" s="118" t="str">
        <f>IF(AND($A35&gt;='Auswertung 3-Schicht'!E$3,$A35&lt;='Auswertung 3-Schicht'!E$4),Berechnung!D34,"")</f>
        <v/>
      </c>
      <c r="Y35" s="118" t="str">
        <f>IF(AND($A35&gt;='Auswertung 3-Schicht'!F$3,$A35&lt;='Auswertung 3-Schicht'!F$4),Berechnung!E34,"")</f>
        <v/>
      </c>
      <c r="Z35" s="132" t="str">
        <f>IF(AND($A35&gt;='Auswertung 3-Schicht'!G$3,$A35&lt;='Auswertung 3-Schicht'!G$4),Berechnung!F34,"")</f>
        <v/>
      </c>
      <c r="AA35" s="118" t="str">
        <f>IF(AND($A35&gt;='Auswertung 3-Schicht'!H$3,$A35&lt;='Auswertung 3-Schicht'!H$4),Berechnung!K34,"")</f>
        <v/>
      </c>
      <c r="AB35" s="134" t="str">
        <f>IF(AND($A35&gt;='Auswertung 3-Schicht'!I$3,$A35&lt;='Auswertung 3-Schicht'!I$4),Berechnung!L34,"")</f>
        <v/>
      </c>
      <c r="AC35" s="118" t="str">
        <f>IF(AND($A35&gt;='Auswertung 3-Schicht'!J$3,$A35&lt;='Auswertung 3-Schicht'!J$4),Berechnung!P34,"")</f>
        <v/>
      </c>
      <c r="AD35" s="121" t="str">
        <f>IF(AND($A35&gt;='Auswertung 3-Schicht'!K$3,$A35&lt;='Auswertung 3-Schicht'!K$4),Berechnung!Q34,"")</f>
        <v/>
      </c>
      <c r="AE35" s="136" t="str">
        <f>IF(AND($A35&gt;='Auswertung 3-Schicht'!D$6,$A35&lt;='Auswertung 3-Schicht'!D$7),Berechnung!C34,"")</f>
        <v/>
      </c>
      <c r="AF35" s="118">
        <f>IF(AND($A35&gt;='Auswertung 3-Schicht'!E$6,$A35&lt;='Auswertung 3-Schicht'!E$7),Berechnung!D34,"")</f>
        <v>36.375698080079296</v>
      </c>
      <c r="AG35" s="118">
        <f>IF(AND($A35&gt;='Auswertung 3-Schicht'!F$6,$A35&lt;='Auswertung 3-Schicht'!F$7),Berechnung!E34,"")</f>
        <v>61.656687214721167</v>
      </c>
      <c r="AH35" s="118" t="str">
        <f>IF(AND($A35&gt;='Auswertung 3-Schicht'!G$6,$A35&lt;='Auswertung 3-Schicht'!G$7),Berechnung!F34,"")</f>
        <v/>
      </c>
      <c r="AI35" s="118" t="str">
        <f>IF(AND($A35&gt;='Auswertung 3-Schicht'!H$6,$A35&lt;='Auswertung 3-Schicht'!H$7),Berechnung!K34,"")</f>
        <v/>
      </c>
      <c r="AJ35" s="118" t="str">
        <f>IF(AND($A35&gt;='Auswertung 3-Schicht'!I$6,$A35&lt;='Auswertung 3-Schicht'!I$7),Berechnung!L34,"")</f>
        <v/>
      </c>
      <c r="AK35" s="118" t="str">
        <f>IF(AND($A35&gt;='Auswertung 3-Schicht'!J$6,$A35&lt;='Auswertung 3-Schicht'!J$7),Berechnung!P34,"")</f>
        <v/>
      </c>
      <c r="AL35" s="118" t="str">
        <f>IF(AND($A35&gt;='Auswertung 3-Schicht'!K$6,$A35&lt;='Auswertung 3-Schicht'!K$7),Berechnung!Q34,"")</f>
        <v/>
      </c>
      <c r="AM35" s="120" t="str">
        <f>IF(AND($A35&gt;='Auswertung 3-Schicht'!D$10,$A35&lt;='Auswertung 3-Schicht'!D$11),Berechnung!C34,"")</f>
        <v/>
      </c>
      <c r="AN35" s="118" t="str">
        <f>IF(AND($A35&gt;='Auswertung 3-Schicht'!E$10,$A35&lt;='Auswertung 3-Schicht'!E$11),Berechnung!D34,"")</f>
        <v/>
      </c>
      <c r="AO35" s="118" t="str">
        <f>IF(AND($A35&gt;='Auswertung 3-Schicht'!F$10,$A35&lt;='Auswertung 3-Schicht'!F$11),Berechnung!E34,"")</f>
        <v/>
      </c>
      <c r="AP35" s="118">
        <f>IF(AND($A35&gt;='Auswertung 3-Schicht'!G$10,$A35&lt;='Auswertung 3-Schicht'!G$11),Berechnung!F34,"")</f>
        <v>80.060999705815448</v>
      </c>
      <c r="AQ35" s="118" t="str">
        <f>IF(AND($A35&gt;='Auswertung 3-Schicht'!H$10,$A35&lt;='Auswertung 3-Schicht'!H$11),Berechnung!K34,"")</f>
        <v/>
      </c>
      <c r="AR35" s="118" t="str">
        <f>IF(AND($A35&gt;='Auswertung 3-Schicht'!I$10,$A35&lt;='Auswertung 3-Schicht'!I$11),Berechnung!L34,"")</f>
        <v/>
      </c>
      <c r="AS35" s="118" t="str">
        <f>IF(AND($A35&gt;='Auswertung 3-Schicht'!J$10,$A35&lt;='Auswertung 3-Schicht'!J$11),Berechnung!P34,"")</f>
        <v/>
      </c>
      <c r="AT35" s="118" t="str">
        <f>IF(AND($A35&gt;='Auswertung 3-Schicht'!K$10,$A35&lt;='Auswertung 3-Schicht'!K$11),Berechnung!Q34,"")</f>
        <v/>
      </c>
      <c r="AU35" s="82">
        <f t="shared" si="11"/>
        <v>-999</v>
      </c>
      <c r="AV35" s="42">
        <f t="shared" si="12"/>
        <v>-999</v>
      </c>
      <c r="AW35" s="79">
        <f t="shared" si="13"/>
        <v>-999</v>
      </c>
      <c r="AX35" s="79">
        <f t="shared" si="14"/>
        <v>-999</v>
      </c>
      <c r="AY35" s="79">
        <f t="shared" si="15"/>
        <v>-999</v>
      </c>
      <c r="AZ35" s="42">
        <f t="shared" si="16"/>
        <v>-999</v>
      </c>
      <c r="BA35" s="83">
        <f t="shared" si="17"/>
        <v>-999</v>
      </c>
      <c r="BB35" s="80">
        <f t="shared" si="18"/>
        <v>36.375698080079296</v>
      </c>
      <c r="BC35" s="42">
        <f t="shared" si="19"/>
        <v>61.656687214721167</v>
      </c>
      <c r="BD35" s="42">
        <f t="shared" si="20"/>
        <v>-999</v>
      </c>
      <c r="BE35" s="42">
        <f t="shared" si="21"/>
        <v>-999</v>
      </c>
      <c r="BF35" s="42">
        <f t="shared" si="22"/>
        <v>-999</v>
      </c>
      <c r="BG35" s="42">
        <f t="shared" si="23"/>
        <v>-999</v>
      </c>
      <c r="BH35" s="83">
        <f t="shared" si="24"/>
        <v>-999</v>
      </c>
      <c r="BI35" s="82">
        <f t="shared" si="25"/>
        <v>-999</v>
      </c>
      <c r="BJ35" s="42">
        <f t="shared" si="26"/>
        <v>-999</v>
      </c>
      <c r="BK35" s="42">
        <f t="shared" si="27"/>
        <v>80.060999705815448</v>
      </c>
      <c r="BL35" s="42">
        <f t="shared" si="28"/>
        <v>-999</v>
      </c>
      <c r="BM35" s="42">
        <f t="shared" si="29"/>
        <v>-999</v>
      </c>
      <c r="BN35" s="42">
        <f t="shared" si="30"/>
        <v>-999</v>
      </c>
      <c r="BO35" s="83">
        <f t="shared" si="31"/>
        <v>-999</v>
      </c>
      <c r="BP35" s="80">
        <f>IF('Auswertung 2-Schicht'!O$4="",-999,MIN(1000*SQRT((A35+1)^2+AVERAGE(T0_Korrektur!D$1,T0_Korrektur!F$1,T0_Korrektur!H$1)^2)/'Auswertung 2-Schicht'!$O$4,'Auswertung 2-Schicht'!$O$8+1000*SQRT((A35+1)^2+AVERAGE(T0_Korrektur!D$1,T0_Korrektur!F$1,T0_Korrektur!H$1)^2)/'Auswertung 2-Schicht'!$O$7))</f>
        <v>85.360536731731941</v>
      </c>
      <c r="BQ35" s="83">
        <f>IF('Auswertung 3-Schicht'!N$4="",-999,IF('Auswertung 3-Schicht'!N$8="",MIN(1000*SQRT((A35+1)^2+AVERAGE(T0_Korrektur!D$1,T0_Korrektur!F$1,T0_Korrektur!H$1)^2)/'Auswertung 3-Schicht'!N$4,'Auswertung 3-Schicht'!N$6+1000*SQRT((A35+1)^2+AVERAGE(T0_Korrektur!D$1,T0_Korrektur!F$1,T0_Korrektur!H$1)^2)/'Auswertung 3-Schicht'!N$5),MIN(1000*SQRT((A35+1)^2+AVERAGE(T0_Korrektur!D$1,T0_Korrektur!F$1,T0_Korrektur!H$1)^2)/'Auswertung 3-Schicht'!N$4,'Auswertung 3-Schicht'!N$6+1000*SQRT((A35+1)^2+AVERAGE(T0_Korrektur!D$1,T0_Korrektur!F$1,T0_Korrektur!H$1)^2)/'Auswertung 3-Schicht'!N$5,'Auswertung 3-Schicht'!N$9+1000*SQRT((A35+1)^2+AVERAGE(T0_Korrektur!D$1,T0_Korrektur!F$1,T0_Korrektur!H$1)^2)/'Auswertung 3-Schicht'!N$8)))</f>
        <v>79.164625649100159</v>
      </c>
      <c r="BR35" s="82">
        <f>ABS(T0_Korrektur!C34)</f>
        <v>26.304990020906679</v>
      </c>
      <c r="BS35" s="42">
        <f>ABS(T0_Korrektur!E34)</f>
        <v>72.517653023246694</v>
      </c>
      <c r="BT35" s="42">
        <f>ABS(T0_Korrektur!I34)</f>
        <v>999</v>
      </c>
      <c r="BU35" s="79">
        <f>ABS(T0_Korrektur!M34)</f>
        <v>999</v>
      </c>
      <c r="BV35" s="120">
        <f>IF(T0_Korrektur!H34="","",T0_Korrektur!H34-Hilfsdaten!BP35)</f>
        <v>-5.2912367317319422</v>
      </c>
      <c r="BW35" s="118"/>
      <c r="BX35" s="118"/>
      <c r="BY35" s="118">
        <f>IF(T0_Korrektur!F25="","",T0_Korrektur!F25-Hilfsdaten!BP35)</f>
        <v>-11.858236731731935</v>
      </c>
      <c r="BZ35" s="120">
        <f>IF(T0_Korrektur!H34="","",T0_Korrektur!H34-Hilfsdaten!BQ35)</f>
        <v>0.90467435089983894</v>
      </c>
      <c r="CA35" s="118"/>
      <c r="CB35" s="118"/>
      <c r="CC35" s="121">
        <f>IF(T0_Korrektur!F25="","",T0_Korrektur!F25-Hilfsdaten!BQ35)</f>
        <v>-5.6623256491001541</v>
      </c>
    </row>
    <row r="36" spans="1:81" x14ac:dyDescent="0.2">
      <c r="A36" s="130">
        <f>'Picks importieren'!B36</f>
        <v>127.5</v>
      </c>
      <c r="B36" s="120" t="str">
        <f>IF(AND($A36&gt;='Auswertung 2-Schicht'!C$3,$A36&lt;='Auswertung 2-Schicht'!C$4),Berechnung!C35,"")</f>
        <v/>
      </c>
      <c r="C36" s="118" t="str">
        <f>IF(AND($A36&gt;='Auswertung 2-Schicht'!D$3,$A36&lt;='Auswertung 2-Schicht'!D$4),Berechnung!D35,"")</f>
        <v/>
      </c>
      <c r="D36" s="118" t="str">
        <f>IF(AND($A36&gt;='Auswertung 2-Schicht'!E$3,$A36&lt;='Auswertung 2-Schicht'!E$4),Berechnung!G35,"")</f>
        <v/>
      </c>
      <c r="E36" s="121" t="str">
        <f>IF(AND($A36&gt;='Auswertung 2-Schicht'!F$3,$A36&lt;='Auswertung 2-Schicht'!F$4),Berechnung!F35,"")</f>
        <v/>
      </c>
      <c r="F36" s="131">
        <f>IF(AND($A36&gt;='Auswertung 2-Schicht'!H$3,$A36&lt;='Auswertung 2-Schicht'!H$4),IF('Auswertung 2-Schicht'!$H$8=1,Berechnung!I35,IF('Auswertung 2-Schicht'!$H$8=2,Berechnung!N35,Berechnung!S35)),"")</f>
        <v>117.40098269872617</v>
      </c>
      <c r="G36" s="118">
        <f>IF(AND($A36&gt;='Auswertung 2-Schicht'!H$3,$A36&lt;='Auswertung 2-Schicht'!H$4),IF('Auswertung 2-Schicht'!$H$8=1,Berechnung!J35,IF('Auswertung 2-Schicht'!$H$8=2,Berechnung!O35,Berechnung!T35)),"")</f>
        <v>38.876765450897153</v>
      </c>
      <c r="H36" s="118" t="str">
        <f>IF(AND($A36&gt;='Auswertung 2-Schicht'!I$3,$A36&lt;='Auswertung 2-Schicht'!I$4),Berechnung!K35,"")</f>
        <v/>
      </c>
      <c r="I36" s="132" t="str">
        <f>IF(AND($A36&gt;='Auswertung 2-Schicht'!J$3,$A36&lt;='Auswertung 2-Schicht'!J$4),Berechnung!L35,"")</f>
        <v/>
      </c>
      <c r="J36" s="118" t="str">
        <f>IF(AND($A36&gt;='Auswertung 2-Schicht'!K$3,$A36&lt;='Auswertung 2-Schicht'!K$4),Berechnung!P35,"")</f>
        <v/>
      </c>
      <c r="K36" s="134" t="str">
        <f>IF(AND($A36&gt;='Auswertung 2-Schicht'!L$3,$A36&lt;='Auswertung 2-Schicht'!L$4),Berechnung!Q35,"")</f>
        <v/>
      </c>
      <c r="L36" s="131">
        <f>IF('Auswertung 2-Schicht'!$H$8=1,Berechnung!I35,IF('Auswertung 2-Schicht'!$H$8=2,Berechnung!N35,Berechnung!S35))</f>
        <v>117.40098269872617</v>
      </c>
      <c r="M36" s="133">
        <f>IF('Auswertung 2-Schicht'!$H$8=1,Berechnung!J35,IF('Auswertung 2-Schicht'!$H$8=2,Berechnung!O35,Berechnung!T35))</f>
        <v>38.876765450897153</v>
      </c>
      <c r="N36" s="82">
        <f t="shared" si="4"/>
        <v>-999</v>
      </c>
      <c r="O36" s="42">
        <f t="shared" si="32"/>
        <v>-999</v>
      </c>
      <c r="P36" s="83">
        <f t="shared" si="33"/>
        <v>-999</v>
      </c>
      <c r="Q36" s="82">
        <f t="shared" si="5"/>
        <v>117.40098269872617</v>
      </c>
      <c r="R36" s="42">
        <f t="shared" si="6"/>
        <v>38.876765450897153</v>
      </c>
      <c r="S36" s="42">
        <f t="shared" si="7"/>
        <v>-999</v>
      </c>
      <c r="T36" s="42">
        <f t="shared" si="8"/>
        <v>-999</v>
      </c>
      <c r="U36" s="42">
        <f t="shared" si="9"/>
        <v>-999</v>
      </c>
      <c r="V36" s="109">
        <f t="shared" si="10"/>
        <v>-999</v>
      </c>
      <c r="W36" s="120" t="str">
        <f>IF(AND($A36&gt;='Auswertung 3-Schicht'!D$3,$A36&lt;='Auswertung 3-Schicht'!D$4),Berechnung!C35,"")</f>
        <v/>
      </c>
      <c r="X36" s="118" t="str">
        <f>IF(AND($A36&gt;='Auswertung 3-Schicht'!E$3,$A36&lt;='Auswertung 3-Schicht'!E$4),Berechnung!D35,"")</f>
        <v/>
      </c>
      <c r="Y36" s="118" t="str">
        <f>IF(AND($A36&gt;='Auswertung 3-Schicht'!F$3,$A36&lt;='Auswertung 3-Schicht'!F$4),Berechnung!E35,"")</f>
        <v/>
      </c>
      <c r="Z36" s="132" t="str">
        <f>IF(AND($A36&gt;='Auswertung 3-Schicht'!G$3,$A36&lt;='Auswertung 3-Schicht'!G$4),Berechnung!F35,"")</f>
        <v/>
      </c>
      <c r="AA36" s="118" t="str">
        <f>IF(AND($A36&gt;='Auswertung 3-Schicht'!H$3,$A36&lt;='Auswertung 3-Schicht'!H$4),Berechnung!K35,"")</f>
        <v/>
      </c>
      <c r="AB36" s="134" t="str">
        <f>IF(AND($A36&gt;='Auswertung 3-Schicht'!I$3,$A36&lt;='Auswertung 3-Schicht'!I$4),Berechnung!L35,"")</f>
        <v/>
      </c>
      <c r="AC36" s="118" t="str">
        <f>IF(AND($A36&gt;='Auswertung 3-Schicht'!J$3,$A36&lt;='Auswertung 3-Schicht'!J$4),Berechnung!P35,"")</f>
        <v/>
      </c>
      <c r="AD36" s="121" t="str">
        <f>IF(AND($A36&gt;='Auswertung 3-Schicht'!K$3,$A36&lt;='Auswertung 3-Schicht'!K$4),Berechnung!Q35,"")</f>
        <v/>
      </c>
      <c r="AE36" s="136" t="str">
        <f>IF(AND($A36&gt;='Auswertung 3-Schicht'!D$6,$A36&lt;='Auswertung 3-Schicht'!D$7),Berechnung!C35,"")</f>
        <v/>
      </c>
      <c r="AF36" s="118">
        <f>IF(AND($A36&gt;='Auswertung 3-Schicht'!E$6,$A36&lt;='Auswertung 3-Schicht'!E$7),Berechnung!D35,"")</f>
        <v>38.928740474674221</v>
      </c>
      <c r="AG36" s="118">
        <f>IF(AND($A36&gt;='Auswertung 3-Schicht'!F$6,$A36&lt;='Auswertung 3-Schicht'!F$7),Berechnung!E35,"")</f>
        <v>58.588942756527494</v>
      </c>
      <c r="AH36" s="118" t="str">
        <f>IF(AND($A36&gt;='Auswertung 3-Schicht'!G$6,$A36&lt;='Auswertung 3-Schicht'!G$7),Berechnung!F35,"")</f>
        <v/>
      </c>
      <c r="AI36" s="118" t="str">
        <f>IF(AND($A36&gt;='Auswertung 3-Schicht'!H$6,$A36&lt;='Auswertung 3-Schicht'!H$7),Berechnung!K35,"")</f>
        <v/>
      </c>
      <c r="AJ36" s="118" t="str">
        <f>IF(AND($A36&gt;='Auswertung 3-Schicht'!I$6,$A36&lt;='Auswertung 3-Schicht'!I$7),Berechnung!L35,"")</f>
        <v/>
      </c>
      <c r="AK36" s="118" t="str">
        <f>IF(AND($A36&gt;='Auswertung 3-Schicht'!J$6,$A36&lt;='Auswertung 3-Schicht'!J$7),Berechnung!P35,"")</f>
        <v/>
      </c>
      <c r="AL36" s="118" t="str">
        <f>IF(AND($A36&gt;='Auswertung 3-Schicht'!K$6,$A36&lt;='Auswertung 3-Schicht'!K$7),Berechnung!Q35,"")</f>
        <v/>
      </c>
      <c r="AM36" s="120" t="str">
        <f>IF(AND($A36&gt;='Auswertung 3-Schicht'!D$10,$A36&lt;='Auswertung 3-Schicht'!D$11),Berechnung!C35,"")</f>
        <v/>
      </c>
      <c r="AN36" s="118" t="str">
        <f>IF(AND($A36&gt;='Auswertung 3-Schicht'!E$10,$A36&lt;='Auswertung 3-Schicht'!E$11),Berechnung!D35,"")</f>
        <v/>
      </c>
      <c r="AO36" s="118" t="str">
        <f>IF(AND($A36&gt;='Auswertung 3-Schicht'!F$10,$A36&lt;='Auswertung 3-Schicht'!F$11),Berechnung!E35,"")</f>
        <v/>
      </c>
      <c r="AP36" s="118">
        <f>IF(AND($A36&gt;='Auswertung 3-Schicht'!G$10,$A36&lt;='Auswertung 3-Schicht'!G$11),Berechnung!F35,"")</f>
        <v>81.492388677941392</v>
      </c>
      <c r="AQ36" s="118" t="str">
        <f>IF(AND($A36&gt;='Auswertung 3-Schicht'!H$10,$A36&lt;='Auswertung 3-Schicht'!H$11),Berechnung!K35,"")</f>
        <v/>
      </c>
      <c r="AR36" s="118" t="str">
        <f>IF(AND($A36&gt;='Auswertung 3-Schicht'!I$10,$A36&lt;='Auswertung 3-Schicht'!I$11),Berechnung!L35,"")</f>
        <v/>
      </c>
      <c r="AS36" s="118" t="str">
        <f>IF(AND($A36&gt;='Auswertung 3-Schicht'!J$10,$A36&lt;='Auswertung 3-Schicht'!J$11),Berechnung!P35,"")</f>
        <v/>
      </c>
      <c r="AT36" s="118" t="str">
        <f>IF(AND($A36&gt;='Auswertung 3-Schicht'!K$10,$A36&lt;='Auswertung 3-Schicht'!K$11),Berechnung!Q35,"")</f>
        <v/>
      </c>
      <c r="AU36" s="82">
        <f t="shared" si="11"/>
        <v>-999</v>
      </c>
      <c r="AV36" s="42">
        <f t="shared" si="12"/>
        <v>-999</v>
      </c>
      <c r="AW36" s="79">
        <f t="shared" si="13"/>
        <v>-999</v>
      </c>
      <c r="AX36" s="79">
        <f t="shared" si="14"/>
        <v>-999</v>
      </c>
      <c r="AY36" s="79">
        <f t="shared" si="15"/>
        <v>-999</v>
      </c>
      <c r="AZ36" s="42">
        <f t="shared" si="16"/>
        <v>-999</v>
      </c>
      <c r="BA36" s="83">
        <f t="shared" si="17"/>
        <v>-999</v>
      </c>
      <c r="BB36" s="80">
        <f t="shared" si="18"/>
        <v>38.928740474674221</v>
      </c>
      <c r="BC36" s="42">
        <f t="shared" si="19"/>
        <v>58.588942756527494</v>
      </c>
      <c r="BD36" s="42">
        <f t="shared" si="20"/>
        <v>-999</v>
      </c>
      <c r="BE36" s="42">
        <f t="shared" si="21"/>
        <v>-999</v>
      </c>
      <c r="BF36" s="42">
        <f t="shared" si="22"/>
        <v>-999</v>
      </c>
      <c r="BG36" s="42">
        <f t="shared" si="23"/>
        <v>-999</v>
      </c>
      <c r="BH36" s="83">
        <f t="shared" si="24"/>
        <v>-999</v>
      </c>
      <c r="BI36" s="82">
        <f t="shared" si="25"/>
        <v>-999</v>
      </c>
      <c r="BJ36" s="42">
        <f t="shared" si="26"/>
        <v>-999</v>
      </c>
      <c r="BK36" s="42">
        <f t="shared" si="27"/>
        <v>81.492388677941392</v>
      </c>
      <c r="BL36" s="42">
        <f t="shared" si="28"/>
        <v>-999</v>
      </c>
      <c r="BM36" s="42">
        <f t="shared" si="29"/>
        <v>-999</v>
      </c>
      <c r="BN36" s="42">
        <f t="shared" si="30"/>
        <v>-999</v>
      </c>
      <c r="BO36" s="83">
        <f t="shared" si="31"/>
        <v>-999</v>
      </c>
      <c r="BP36" s="80">
        <f>IF('Auswertung 2-Schicht'!O$4="",-999,MIN(1000*SQRT((A36+1)^2+AVERAGE(T0_Korrektur!D$1,T0_Korrektur!F$1,T0_Korrektur!H$1)^2)/'Auswertung 2-Schicht'!$O$4,'Auswertung 2-Schicht'!$O$8+1000*SQRT((A36+1)^2+AVERAGE(T0_Korrektur!D$1,T0_Korrektur!F$1,T0_Korrektur!H$1)^2)/'Auswertung 2-Schicht'!$O$7))</f>
        <v>87.313424493557449</v>
      </c>
      <c r="BQ36" s="83">
        <f>IF('Auswertung 3-Schicht'!N$4="",-999,IF('Auswertung 3-Schicht'!N$8="",MIN(1000*SQRT((A36+1)^2+AVERAGE(T0_Korrektur!D$1,T0_Korrektur!F$1,T0_Korrektur!H$1)^2)/'Auswertung 3-Schicht'!N$4,'Auswertung 3-Schicht'!N$6+1000*SQRT((A36+1)^2+AVERAGE(T0_Korrektur!D$1,T0_Korrektur!F$1,T0_Korrektur!H$1)^2)/'Auswertung 3-Schicht'!N$5),MIN(1000*SQRT((A36+1)^2+AVERAGE(T0_Korrektur!D$1,T0_Korrektur!F$1,T0_Korrektur!H$1)^2)/'Auswertung 3-Schicht'!N$4,'Auswertung 3-Schicht'!N$6+1000*SQRT((A36+1)^2+AVERAGE(T0_Korrektur!D$1,T0_Korrektur!F$1,T0_Korrektur!H$1)^2)/'Auswertung 3-Schicht'!N$5,'Auswertung 3-Schicht'!N$9+1000*SQRT((A36+1)^2+AVERAGE(T0_Korrektur!D$1,T0_Korrektur!F$1,T0_Korrektur!H$1)^2)/'Auswertung 3-Schicht'!N$8)))</f>
        <v>80.694475404417204</v>
      </c>
      <c r="BR36" s="82">
        <f>ABS(T0_Korrektur!C35)</f>
        <v>31.296205840325118</v>
      </c>
      <c r="BS36" s="42">
        <f>ABS(T0_Korrektur!E35)</f>
        <v>67.518960300052015</v>
      </c>
      <c r="BT36" s="42">
        <f>ABS(T0_Korrektur!I35)</f>
        <v>999</v>
      </c>
      <c r="BU36" s="79">
        <f>ABS(T0_Korrektur!M35)</f>
        <v>999</v>
      </c>
      <c r="BV36" s="120">
        <f>IF(T0_Korrektur!H35="","",T0_Korrektur!H35-Hilfsdaten!BP36)</f>
        <v>-5.813224493557442</v>
      </c>
      <c r="BW36" s="118"/>
      <c r="BX36" s="118"/>
      <c r="BY36" s="118">
        <f>IF(T0_Korrektur!F24="","",T0_Korrektur!F24-Hilfsdaten!BP36)</f>
        <v>-12.916824493557442</v>
      </c>
      <c r="BZ36" s="120">
        <f>IF(T0_Korrektur!H35="","",T0_Korrektur!H35-Hilfsdaten!BQ36)</f>
        <v>0.80572459558280229</v>
      </c>
      <c r="CA36" s="118"/>
      <c r="CB36" s="118"/>
      <c r="CC36" s="121">
        <f>IF(T0_Korrektur!F24="","",T0_Korrektur!F24-Hilfsdaten!BQ36)</f>
        <v>-6.2978754044171978</v>
      </c>
    </row>
    <row r="37" spans="1:81" x14ac:dyDescent="0.2">
      <c r="A37" s="130">
        <f>'Picks importieren'!B37</f>
        <v>132.5</v>
      </c>
      <c r="B37" s="120" t="str">
        <f>IF(AND($A37&gt;='Auswertung 2-Schicht'!C$3,$A37&lt;='Auswertung 2-Schicht'!C$4),Berechnung!C36,"")</f>
        <v/>
      </c>
      <c r="C37" s="118" t="str">
        <f>IF(AND($A37&gt;='Auswertung 2-Schicht'!D$3,$A37&lt;='Auswertung 2-Schicht'!D$4),Berechnung!D36,"")</f>
        <v/>
      </c>
      <c r="D37" s="118" t="str">
        <f>IF(AND($A37&gt;='Auswertung 2-Schicht'!E$3,$A37&lt;='Auswertung 2-Schicht'!E$4),Berechnung!G36,"")</f>
        <v/>
      </c>
      <c r="E37" s="121" t="str">
        <f>IF(AND($A37&gt;='Auswertung 2-Schicht'!F$3,$A37&lt;='Auswertung 2-Schicht'!F$4),Berechnung!F36,"")</f>
        <v/>
      </c>
      <c r="F37" s="131">
        <f>IF(AND($A37&gt;='Auswertung 2-Schicht'!H$3,$A37&lt;='Auswertung 2-Schicht'!H$4),IF('Auswertung 2-Schicht'!$H$8=1,Berechnung!I36,IF('Auswertung 2-Schicht'!$H$8=2,Berechnung!N36,Berechnung!S36)),"")</f>
        <v>122.30941981136776</v>
      </c>
      <c r="G37" s="118">
        <f>IF(AND($A37&gt;='Auswertung 2-Schicht'!H$3,$A37&lt;='Auswertung 2-Schicht'!H$4),IF('Auswertung 2-Schicht'!$H$8=1,Berechnung!J36,IF('Auswertung 2-Schicht'!$H$8=2,Berechnung!O36,Berechnung!T36)),"")</f>
        <v>37.648736957546788</v>
      </c>
      <c r="H37" s="118" t="str">
        <f>IF(AND($A37&gt;='Auswertung 2-Schicht'!I$3,$A37&lt;='Auswertung 2-Schicht'!I$4),Berechnung!K36,"")</f>
        <v/>
      </c>
      <c r="I37" s="132" t="str">
        <f>IF(AND($A37&gt;='Auswertung 2-Schicht'!J$3,$A37&lt;='Auswertung 2-Schicht'!J$4),Berechnung!L36,"")</f>
        <v/>
      </c>
      <c r="J37" s="118" t="str">
        <f>IF(AND($A37&gt;='Auswertung 2-Schicht'!K$3,$A37&lt;='Auswertung 2-Schicht'!K$4),Berechnung!P36,"")</f>
        <v/>
      </c>
      <c r="K37" s="134" t="str">
        <f>IF(AND($A37&gt;='Auswertung 2-Schicht'!L$3,$A37&lt;='Auswertung 2-Schicht'!L$4),Berechnung!Q36,"")</f>
        <v/>
      </c>
      <c r="L37" s="131">
        <f>IF('Auswertung 2-Schicht'!$H$8=1,Berechnung!I36,IF('Auswertung 2-Schicht'!$H$8=2,Berechnung!N36,Berechnung!S36))</f>
        <v>122.30941981136776</v>
      </c>
      <c r="M37" s="133">
        <f>IF('Auswertung 2-Schicht'!$H$8=1,Berechnung!J36,IF('Auswertung 2-Schicht'!$H$8=2,Berechnung!O36,Berechnung!T36))</f>
        <v>37.648736957546788</v>
      </c>
      <c r="N37" s="82">
        <f t="shared" si="4"/>
        <v>-999</v>
      </c>
      <c r="O37" s="42">
        <f t="shared" si="32"/>
        <v>-999</v>
      </c>
      <c r="P37" s="83">
        <f t="shared" si="33"/>
        <v>-999</v>
      </c>
      <c r="Q37" s="82">
        <f t="shared" si="5"/>
        <v>122.30941981136776</v>
      </c>
      <c r="R37" s="42">
        <f t="shared" si="6"/>
        <v>37.648736957546788</v>
      </c>
      <c r="S37" s="42">
        <f t="shared" si="7"/>
        <v>-999</v>
      </c>
      <c r="T37" s="42">
        <f t="shared" si="8"/>
        <v>-999</v>
      </c>
      <c r="U37" s="42">
        <f t="shared" si="9"/>
        <v>-999</v>
      </c>
      <c r="V37" s="109">
        <f t="shared" si="10"/>
        <v>-999</v>
      </c>
      <c r="W37" s="120" t="str">
        <f>IF(AND($A37&gt;='Auswertung 3-Schicht'!D$3,$A37&lt;='Auswertung 3-Schicht'!D$4),Berechnung!C36,"")</f>
        <v/>
      </c>
      <c r="X37" s="118" t="str">
        <f>IF(AND($A37&gt;='Auswertung 3-Schicht'!E$3,$A37&lt;='Auswertung 3-Schicht'!E$4),Berechnung!D36,"")</f>
        <v/>
      </c>
      <c r="Y37" s="118" t="str">
        <f>IF(AND($A37&gt;='Auswertung 3-Schicht'!F$3,$A37&lt;='Auswertung 3-Schicht'!F$4),Berechnung!E36,"")</f>
        <v/>
      </c>
      <c r="Z37" s="132" t="str">
        <f>IF(AND($A37&gt;='Auswertung 3-Schicht'!G$3,$A37&lt;='Auswertung 3-Schicht'!G$4),Berechnung!F36,"")</f>
        <v/>
      </c>
      <c r="AA37" s="118" t="str">
        <f>IF(AND($A37&gt;='Auswertung 3-Schicht'!H$3,$A37&lt;='Auswertung 3-Schicht'!H$4),Berechnung!K36,"")</f>
        <v/>
      </c>
      <c r="AB37" s="134" t="str">
        <f>IF(AND($A37&gt;='Auswertung 3-Schicht'!I$3,$A37&lt;='Auswertung 3-Schicht'!I$4),Berechnung!L36,"")</f>
        <v/>
      </c>
      <c r="AC37" s="118" t="str">
        <f>IF(AND($A37&gt;='Auswertung 3-Schicht'!J$3,$A37&lt;='Auswertung 3-Schicht'!J$4),Berechnung!P36,"")</f>
        <v/>
      </c>
      <c r="AD37" s="121" t="str">
        <f>IF(AND($A37&gt;='Auswertung 3-Schicht'!K$3,$A37&lt;='Auswertung 3-Schicht'!K$4),Berechnung!Q36,"")</f>
        <v/>
      </c>
      <c r="AE37" s="136" t="str">
        <f>IF(AND($A37&gt;='Auswertung 3-Schicht'!D$6,$A37&lt;='Auswertung 3-Schicht'!D$7),Berechnung!C36,"")</f>
        <v/>
      </c>
      <c r="AF37" s="118">
        <f>IF(AND($A37&gt;='Auswertung 3-Schicht'!E$6,$A37&lt;='Auswertung 3-Schicht'!E$7),Berechnung!D36,"")</f>
        <v>40.912535514049708</v>
      </c>
      <c r="AG37" s="118">
        <f>IF(AND($A37&gt;='Auswertung 3-Schicht'!F$6,$A37&lt;='Auswertung 3-Schicht'!F$7),Berechnung!E36,"")</f>
        <v>55.520709953531515</v>
      </c>
      <c r="AH37" s="118" t="str">
        <f>IF(AND($A37&gt;='Auswertung 3-Schicht'!G$6,$A37&lt;='Auswertung 3-Schicht'!G$7),Berechnung!F36,"")</f>
        <v/>
      </c>
      <c r="AI37" s="118" t="str">
        <f>IF(AND($A37&gt;='Auswertung 3-Schicht'!H$6,$A37&lt;='Auswertung 3-Schicht'!H$7),Berechnung!K36,"")</f>
        <v/>
      </c>
      <c r="AJ37" s="118" t="str">
        <f>IF(AND($A37&gt;='Auswertung 3-Schicht'!I$6,$A37&lt;='Auswertung 3-Schicht'!I$7),Berechnung!L36,"")</f>
        <v/>
      </c>
      <c r="AK37" s="118" t="str">
        <f>IF(AND($A37&gt;='Auswertung 3-Schicht'!J$6,$A37&lt;='Auswertung 3-Schicht'!J$7),Berechnung!P36,"")</f>
        <v/>
      </c>
      <c r="AL37" s="118" t="str">
        <f>IF(AND($A37&gt;='Auswertung 3-Schicht'!K$6,$A37&lt;='Auswertung 3-Schicht'!K$7),Berechnung!Q36,"")</f>
        <v/>
      </c>
      <c r="AM37" s="120" t="str">
        <f>IF(AND($A37&gt;='Auswertung 3-Schicht'!D$10,$A37&lt;='Auswertung 3-Schicht'!D$11),Berechnung!C36,"")</f>
        <v/>
      </c>
      <c r="AN37" s="118" t="str">
        <f>IF(AND($A37&gt;='Auswertung 3-Schicht'!E$10,$A37&lt;='Auswertung 3-Schicht'!E$11),Berechnung!D36,"")</f>
        <v/>
      </c>
      <c r="AO37" s="118" t="str">
        <f>IF(AND($A37&gt;='Auswertung 3-Schicht'!F$10,$A37&lt;='Auswertung 3-Schicht'!F$11),Berechnung!E36,"")</f>
        <v/>
      </c>
      <c r="AP37" s="118">
        <f>IF(AND($A37&gt;='Auswertung 3-Schicht'!G$10,$A37&lt;='Auswertung 3-Schicht'!G$11),Berechnung!F36,"")</f>
        <v>83.332592987587006</v>
      </c>
      <c r="AQ37" s="118" t="str">
        <f>IF(AND($A37&gt;='Auswertung 3-Schicht'!H$10,$A37&lt;='Auswertung 3-Schicht'!H$11),Berechnung!K36,"")</f>
        <v/>
      </c>
      <c r="AR37" s="118" t="str">
        <f>IF(AND($A37&gt;='Auswertung 3-Schicht'!I$10,$A37&lt;='Auswertung 3-Schicht'!I$11),Berechnung!L36,"")</f>
        <v/>
      </c>
      <c r="AS37" s="118" t="str">
        <f>IF(AND($A37&gt;='Auswertung 3-Schicht'!J$10,$A37&lt;='Auswertung 3-Schicht'!J$11),Berechnung!P36,"")</f>
        <v/>
      </c>
      <c r="AT37" s="118" t="str">
        <f>IF(AND($A37&gt;='Auswertung 3-Schicht'!K$10,$A37&lt;='Auswertung 3-Schicht'!K$11),Berechnung!Q36,"")</f>
        <v/>
      </c>
      <c r="AU37" s="82">
        <f t="shared" si="11"/>
        <v>-999</v>
      </c>
      <c r="AV37" s="42">
        <f t="shared" si="12"/>
        <v>-999</v>
      </c>
      <c r="AW37" s="79">
        <f t="shared" si="13"/>
        <v>-999</v>
      </c>
      <c r="AX37" s="79">
        <f t="shared" si="14"/>
        <v>-999</v>
      </c>
      <c r="AY37" s="79">
        <f t="shared" si="15"/>
        <v>-999</v>
      </c>
      <c r="AZ37" s="42">
        <f t="shared" si="16"/>
        <v>-999</v>
      </c>
      <c r="BA37" s="83">
        <f t="shared" si="17"/>
        <v>-999</v>
      </c>
      <c r="BB37" s="80">
        <f t="shared" si="18"/>
        <v>40.912535514049708</v>
      </c>
      <c r="BC37" s="42">
        <f t="shared" si="19"/>
        <v>55.520709953531515</v>
      </c>
      <c r="BD37" s="42">
        <f t="shared" si="20"/>
        <v>-999</v>
      </c>
      <c r="BE37" s="42">
        <f t="shared" si="21"/>
        <v>-999</v>
      </c>
      <c r="BF37" s="42">
        <f t="shared" si="22"/>
        <v>-999</v>
      </c>
      <c r="BG37" s="42">
        <f t="shared" si="23"/>
        <v>-999</v>
      </c>
      <c r="BH37" s="83">
        <f t="shared" si="24"/>
        <v>-999</v>
      </c>
      <c r="BI37" s="82">
        <f t="shared" si="25"/>
        <v>-999</v>
      </c>
      <c r="BJ37" s="42">
        <f t="shared" si="26"/>
        <v>-999</v>
      </c>
      <c r="BK37" s="42">
        <f t="shared" si="27"/>
        <v>83.332592987587006</v>
      </c>
      <c r="BL37" s="42">
        <f t="shared" si="28"/>
        <v>-999</v>
      </c>
      <c r="BM37" s="42">
        <f t="shared" si="29"/>
        <v>-999</v>
      </c>
      <c r="BN37" s="42">
        <f t="shared" si="30"/>
        <v>-999</v>
      </c>
      <c r="BO37" s="83">
        <f t="shared" si="31"/>
        <v>-999</v>
      </c>
      <c r="BP37" s="80">
        <f>IF('Auswertung 2-Schicht'!O$4="",-999,MIN(1000*SQRT((A37+1)^2+AVERAGE(T0_Korrektur!D$1,T0_Korrektur!F$1,T0_Korrektur!H$1)^2)/'Auswertung 2-Schicht'!$O$4,'Auswertung 2-Schicht'!$O$8+1000*SQRT((A37+1)^2+AVERAGE(T0_Korrektur!D$1,T0_Korrektur!F$1,T0_Korrektur!H$1)^2)/'Auswertung 2-Schicht'!$O$7))</f>
        <v>89.266325572770995</v>
      </c>
      <c r="BQ37" s="83">
        <f>IF('Auswertung 3-Schicht'!N$4="",-999,IF('Auswertung 3-Schicht'!N$8="",MIN(1000*SQRT((A37+1)^2+AVERAGE(T0_Korrektur!D$1,T0_Korrektur!F$1,T0_Korrektur!H$1)^2)/'Auswertung 3-Schicht'!N$4,'Auswertung 3-Schicht'!N$6+1000*SQRT((A37+1)^2+AVERAGE(T0_Korrektur!D$1,T0_Korrektur!F$1,T0_Korrektur!H$1)^2)/'Auswertung 3-Schicht'!N$5),MIN(1000*SQRT((A37+1)^2+AVERAGE(T0_Korrektur!D$1,T0_Korrektur!F$1,T0_Korrektur!H$1)^2)/'Auswertung 3-Schicht'!N$4,'Auswertung 3-Schicht'!N$6+1000*SQRT((A37+1)^2+AVERAGE(T0_Korrektur!D$1,T0_Korrektur!F$1,T0_Korrektur!H$1)^2)/'Auswertung 3-Schicht'!N$5,'Auswertung 3-Schicht'!N$9+1000*SQRT((A37+1)^2+AVERAGE(T0_Korrektur!D$1,T0_Korrektur!F$1,T0_Korrektur!H$1)^2)/'Auswertung 3-Schicht'!N$8)))</f>
        <v>82.22433559228611</v>
      </c>
      <c r="BR37" s="82">
        <f>ABS(T0_Korrektur!C36)</f>
        <v>36.289840176005185</v>
      </c>
      <c r="BS37" s="42">
        <f>ABS(T0_Korrektur!E36)</f>
        <v>62.520476645655862</v>
      </c>
      <c r="BT37" s="42">
        <f>ABS(T0_Korrektur!I36)</f>
        <v>999</v>
      </c>
      <c r="BU37" s="79">
        <f>ABS(T0_Korrektur!M36)</f>
        <v>999</v>
      </c>
      <c r="BV37" s="120">
        <f>IF(T0_Korrektur!H36="","",T0_Korrektur!H36-Hilfsdaten!BP37)</f>
        <v>-5.9263255727709918</v>
      </c>
      <c r="BW37" s="118"/>
      <c r="BX37" s="118"/>
      <c r="BY37" s="118">
        <f>IF(T0_Korrektur!F23="","",T0_Korrektur!F23-Hilfsdaten!BP37)</f>
        <v>-14.511925572770991</v>
      </c>
      <c r="BZ37" s="120">
        <f>IF(T0_Korrektur!H36="","",T0_Korrektur!H36-Hilfsdaten!BQ37)</f>
        <v>1.1156644077138935</v>
      </c>
      <c r="CA37" s="118"/>
      <c r="CB37" s="118"/>
      <c r="CC37" s="121">
        <f>IF(T0_Korrektur!F23="","",T0_Korrektur!F23-Hilfsdaten!BQ37)</f>
        <v>-7.4699355922861059</v>
      </c>
    </row>
    <row r="38" spans="1:81" x14ac:dyDescent="0.2">
      <c r="A38" s="130">
        <f>'Picks importieren'!B38</f>
        <v>137.5</v>
      </c>
      <c r="B38" s="120" t="str">
        <f>IF(AND($A38&gt;='Auswertung 2-Schicht'!C$3,$A38&lt;='Auswertung 2-Schicht'!C$4),Berechnung!C37,"")</f>
        <v/>
      </c>
      <c r="C38" s="118" t="str">
        <f>IF(AND($A38&gt;='Auswertung 2-Schicht'!D$3,$A38&lt;='Auswertung 2-Schicht'!D$4),Berechnung!D37,"")</f>
        <v/>
      </c>
      <c r="D38" s="118" t="str">
        <f>IF(AND($A38&gt;='Auswertung 2-Schicht'!E$3,$A38&lt;='Auswertung 2-Schicht'!E$4),Berechnung!G37,"")</f>
        <v/>
      </c>
      <c r="E38" s="121" t="str">
        <f>IF(AND($A38&gt;='Auswertung 2-Schicht'!F$3,$A38&lt;='Auswertung 2-Schicht'!F$4),Berechnung!F37,"")</f>
        <v/>
      </c>
      <c r="F38" s="131">
        <f>IF(AND($A38&gt;='Auswertung 2-Schicht'!H$3,$A38&lt;='Auswertung 2-Schicht'!H$4),IF('Auswertung 2-Schicht'!$H$8=1,Berechnung!I37,IF('Auswertung 2-Schicht'!$H$8=2,Berechnung!N37,Berechnung!S37)),"")</f>
        <v>126.40031649425511</v>
      </c>
      <c r="G38" s="118">
        <f>IF(AND($A38&gt;='Auswertung 2-Schicht'!H$3,$A38&lt;='Auswertung 2-Schicht'!H$4),IF('Auswertung 2-Schicht'!$H$8=1,Berechnung!J37,IF('Auswertung 2-Schicht'!$H$8=2,Berechnung!O37,Berechnung!T37)),"")</f>
        <v>37.237975319049269</v>
      </c>
      <c r="H38" s="118" t="str">
        <f>IF(AND($A38&gt;='Auswertung 2-Schicht'!I$3,$A38&lt;='Auswertung 2-Schicht'!I$4),Berechnung!K37,"")</f>
        <v/>
      </c>
      <c r="I38" s="132" t="str">
        <f>IF(AND($A38&gt;='Auswertung 2-Schicht'!J$3,$A38&lt;='Auswertung 2-Schicht'!J$4),Berechnung!L37,"")</f>
        <v/>
      </c>
      <c r="J38" s="118" t="str">
        <f>IF(AND($A38&gt;='Auswertung 2-Schicht'!K$3,$A38&lt;='Auswertung 2-Schicht'!K$4),Berechnung!P37,"")</f>
        <v/>
      </c>
      <c r="K38" s="134" t="str">
        <f>IF(AND($A38&gt;='Auswertung 2-Schicht'!L$3,$A38&lt;='Auswertung 2-Schicht'!L$4),Berechnung!Q37,"")</f>
        <v/>
      </c>
      <c r="L38" s="131">
        <f>IF('Auswertung 2-Schicht'!$H$8=1,Berechnung!I37,IF('Auswertung 2-Schicht'!$H$8=2,Berechnung!N37,Berechnung!S37))</f>
        <v>126.40031649425511</v>
      </c>
      <c r="M38" s="133">
        <f>IF('Auswertung 2-Schicht'!$H$8=1,Berechnung!J37,IF('Auswertung 2-Schicht'!$H$8=2,Berechnung!O37,Berechnung!T37))</f>
        <v>37.237975319049269</v>
      </c>
      <c r="N38" s="82">
        <f t="shared" ref="N38:N51" si="34">IF(SUM(B38:C38)=0,-999,SUM(B38:C38))</f>
        <v>-999</v>
      </c>
      <c r="O38" s="42">
        <f t="shared" ref="O38:O51" si="35">IF(D38="",-999,D38)</f>
        <v>-999</v>
      </c>
      <c r="P38" s="83">
        <f t="shared" ref="P38:P51" si="36">IF(E38="",-999,E38)</f>
        <v>-999</v>
      </c>
      <c r="Q38" s="82">
        <f t="shared" ref="Q38:Q51" si="37">IF(F38="",-999,F38)</f>
        <v>126.40031649425511</v>
      </c>
      <c r="R38" s="42">
        <f t="shared" ref="R38:R51" si="38">IF(G38="",-999,G38)</f>
        <v>37.237975319049269</v>
      </c>
      <c r="S38" s="42">
        <f t="shared" ref="S38:S51" si="39">IF(H38="",-999,H38)</f>
        <v>-999</v>
      </c>
      <c r="T38" s="42">
        <f t="shared" ref="T38:T51" si="40">IF(I38="",-999,I38)</f>
        <v>-999</v>
      </c>
      <c r="U38" s="42">
        <f t="shared" ref="U38:U51" si="41">IF(J38="",-999,J38)</f>
        <v>-999</v>
      </c>
      <c r="V38" s="109">
        <f t="shared" ref="V38:V51" si="42">IF(K38="",-999,K38)</f>
        <v>-999</v>
      </c>
      <c r="W38" s="120" t="str">
        <f>IF(AND($A38&gt;='Auswertung 3-Schicht'!D$3,$A38&lt;='Auswertung 3-Schicht'!D$4),Berechnung!C37,"")</f>
        <v/>
      </c>
      <c r="X38" s="118" t="str">
        <f>IF(AND($A38&gt;='Auswertung 3-Schicht'!E$3,$A38&lt;='Auswertung 3-Schicht'!E$4),Berechnung!D37,"")</f>
        <v/>
      </c>
      <c r="Y38" s="118" t="str">
        <f>IF(AND($A38&gt;='Auswertung 3-Schicht'!F$3,$A38&lt;='Auswertung 3-Schicht'!F$4),Berechnung!E37,"")</f>
        <v/>
      </c>
      <c r="Z38" s="132" t="str">
        <f>IF(AND($A38&gt;='Auswertung 3-Schicht'!G$3,$A38&lt;='Auswertung 3-Schicht'!G$4),Berechnung!F37,"")</f>
        <v/>
      </c>
      <c r="AA38" s="118" t="str">
        <f>IF(AND($A38&gt;='Auswertung 3-Schicht'!H$3,$A38&lt;='Auswertung 3-Schicht'!H$4),Berechnung!K37,"")</f>
        <v/>
      </c>
      <c r="AB38" s="134" t="str">
        <f>IF(AND($A38&gt;='Auswertung 3-Schicht'!I$3,$A38&lt;='Auswertung 3-Schicht'!I$4),Berechnung!L37,"")</f>
        <v/>
      </c>
      <c r="AC38" s="118" t="str">
        <f>IF(AND($A38&gt;='Auswertung 3-Schicht'!J$3,$A38&lt;='Auswertung 3-Schicht'!J$4),Berechnung!P37,"")</f>
        <v/>
      </c>
      <c r="AD38" s="121" t="str">
        <f>IF(AND($A38&gt;='Auswertung 3-Schicht'!K$3,$A38&lt;='Auswertung 3-Schicht'!K$4),Berechnung!Q37,"")</f>
        <v/>
      </c>
      <c r="AE38" s="136" t="str">
        <f>IF(AND($A38&gt;='Auswertung 3-Schicht'!D$6,$A38&lt;='Auswertung 3-Schicht'!D$7),Berechnung!C37,"")</f>
        <v/>
      </c>
      <c r="AF38" s="118">
        <f>IF(AND($A38&gt;='Auswertung 3-Schicht'!E$6,$A38&lt;='Auswertung 3-Schicht'!E$7),Berechnung!D37,"")</f>
        <v>43.548833172902349</v>
      </c>
      <c r="AG38" s="118">
        <f>IF(AND($A38&gt;='Auswertung 3-Schicht'!F$6,$A38&lt;='Auswertung 3-Schicht'!F$7),Berechnung!E37,"")</f>
        <v>53.269880792839103</v>
      </c>
      <c r="AH38" s="118" t="str">
        <f>IF(AND($A38&gt;='Auswertung 3-Schicht'!G$6,$A38&lt;='Auswertung 3-Schicht'!G$7),Berechnung!F37,"")</f>
        <v/>
      </c>
      <c r="AI38" s="118" t="str">
        <f>IF(AND($A38&gt;='Auswertung 3-Schicht'!H$6,$A38&lt;='Auswertung 3-Schicht'!H$7),Berechnung!K37,"")</f>
        <v/>
      </c>
      <c r="AJ38" s="118" t="str">
        <f>IF(AND($A38&gt;='Auswertung 3-Schicht'!I$6,$A38&lt;='Auswertung 3-Schicht'!I$7),Berechnung!L37,"")</f>
        <v/>
      </c>
      <c r="AK38" s="118" t="str">
        <f>IF(AND($A38&gt;='Auswertung 3-Schicht'!J$6,$A38&lt;='Auswertung 3-Schicht'!J$7),Berechnung!P37,"")</f>
        <v/>
      </c>
      <c r="AL38" s="118" t="str">
        <f>IF(AND($A38&gt;='Auswertung 3-Schicht'!K$6,$A38&lt;='Auswertung 3-Schicht'!K$7),Berechnung!Q37,"")</f>
        <v/>
      </c>
      <c r="AM38" s="120" t="str">
        <f>IF(AND($A38&gt;='Auswertung 3-Schicht'!D$10,$A38&lt;='Auswertung 3-Schicht'!D$11),Berechnung!C37,"")</f>
        <v/>
      </c>
      <c r="AN38" s="118" t="str">
        <f>IF(AND($A38&gt;='Auswertung 3-Schicht'!E$10,$A38&lt;='Auswertung 3-Schicht'!E$11),Berechnung!D37,"")</f>
        <v/>
      </c>
      <c r="AO38" s="118" t="str">
        <f>IF(AND($A38&gt;='Auswertung 3-Schicht'!F$10,$A38&lt;='Auswertung 3-Schicht'!F$11),Berechnung!E37,"")</f>
        <v/>
      </c>
      <c r="AP38" s="118">
        <f>IF(AND($A38&gt;='Auswertung 3-Schicht'!G$10,$A38&lt;='Auswertung 3-Schicht'!G$11),Berechnung!F37,"")</f>
        <v>85.17266050978192</v>
      </c>
      <c r="AQ38" s="118" t="str">
        <f>IF(AND($A38&gt;='Auswertung 3-Schicht'!H$10,$A38&lt;='Auswertung 3-Schicht'!H$11),Berechnung!K37,"")</f>
        <v/>
      </c>
      <c r="AR38" s="118" t="str">
        <f>IF(AND($A38&gt;='Auswertung 3-Schicht'!I$10,$A38&lt;='Auswertung 3-Schicht'!I$11),Berechnung!L37,"")</f>
        <v/>
      </c>
      <c r="AS38" s="118" t="str">
        <f>IF(AND($A38&gt;='Auswertung 3-Schicht'!J$10,$A38&lt;='Auswertung 3-Schicht'!J$11),Berechnung!P37,"")</f>
        <v/>
      </c>
      <c r="AT38" s="118" t="str">
        <f>IF(AND($A38&gt;='Auswertung 3-Schicht'!K$10,$A38&lt;='Auswertung 3-Schicht'!K$11),Berechnung!Q37,"")</f>
        <v/>
      </c>
      <c r="AU38" s="82">
        <f t="shared" si="11"/>
        <v>-999</v>
      </c>
      <c r="AV38" s="42">
        <f t="shared" si="12"/>
        <v>-999</v>
      </c>
      <c r="AW38" s="79">
        <f t="shared" si="13"/>
        <v>-999</v>
      </c>
      <c r="AX38" s="79">
        <f t="shared" si="14"/>
        <v>-999</v>
      </c>
      <c r="AY38" s="79">
        <f t="shared" si="15"/>
        <v>-999</v>
      </c>
      <c r="AZ38" s="42">
        <f t="shared" si="16"/>
        <v>-999</v>
      </c>
      <c r="BA38" s="83">
        <f t="shared" si="17"/>
        <v>-999</v>
      </c>
      <c r="BB38" s="80">
        <f t="shared" si="18"/>
        <v>43.548833172902349</v>
      </c>
      <c r="BC38" s="42">
        <f t="shared" si="19"/>
        <v>53.269880792839103</v>
      </c>
      <c r="BD38" s="42">
        <f t="shared" si="20"/>
        <v>-999</v>
      </c>
      <c r="BE38" s="42">
        <f t="shared" si="21"/>
        <v>-999</v>
      </c>
      <c r="BF38" s="42">
        <f t="shared" si="22"/>
        <v>-999</v>
      </c>
      <c r="BG38" s="42">
        <f t="shared" si="23"/>
        <v>-999</v>
      </c>
      <c r="BH38" s="83">
        <f t="shared" si="24"/>
        <v>-999</v>
      </c>
      <c r="BI38" s="82">
        <f t="shared" si="25"/>
        <v>-999</v>
      </c>
      <c r="BJ38" s="42">
        <f t="shared" si="26"/>
        <v>-999</v>
      </c>
      <c r="BK38" s="42">
        <f t="shared" si="27"/>
        <v>85.17266050978192</v>
      </c>
      <c r="BL38" s="42">
        <f t="shared" si="28"/>
        <v>-999</v>
      </c>
      <c r="BM38" s="42">
        <f t="shared" si="29"/>
        <v>-999</v>
      </c>
      <c r="BN38" s="42">
        <f t="shared" si="30"/>
        <v>-999</v>
      </c>
      <c r="BO38" s="83">
        <f t="shared" si="31"/>
        <v>-999</v>
      </c>
      <c r="BP38" s="80">
        <f>IF('Auswertung 2-Schicht'!O$4="",-999,MIN(1000*SQRT((A38+1)^2+AVERAGE(T0_Korrektur!D$1,T0_Korrektur!F$1,T0_Korrektur!H$1)^2)/'Auswertung 2-Schicht'!$O$4,'Auswertung 2-Schicht'!$O$8+1000*SQRT((A38+1)^2+AVERAGE(T0_Korrektur!D$1,T0_Korrektur!F$1,T0_Korrektur!H$1)^2)/'Auswertung 2-Schicht'!$O$7))</f>
        <v>91.219238527286336</v>
      </c>
      <c r="BQ38" s="83">
        <f>IF('Auswertung 3-Schicht'!N$4="",-999,IF('Auswertung 3-Schicht'!N$8="",MIN(1000*SQRT((A38+1)^2+AVERAGE(T0_Korrektur!D$1,T0_Korrektur!F$1,T0_Korrektur!H$1)^2)/'Auswertung 3-Schicht'!N$4,'Auswertung 3-Schicht'!N$6+1000*SQRT((A38+1)^2+AVERAGE(T0_Korrektur!D$1,T0_Korrektur!F$1,T0_Korrektur!H$1)^2)/'Auswertung 3-Schicht'!N$5),MIN(1000*SQRT((A38+1)^2+AVERAGE(T0_Korrektur!D$1,T0_Korrektur!F$1,T0_Korrektur!H$1)^2)/'Auswertung 3-Schicht'!N$4,'Auswertung 3-Schicht'!N$6+1000*SQRT((A38+1)^2+AVERAGE(T0_Korrektur!D$1,T0_Korrektur!F$1,T0_Korrektur!H$1)^2)/'Auswertung 3-Schicht'!N$5,'Auswertung 3-Schicht'!N$9+1000*SQRT((A38+1)^2+AVERAGE(T0_Korrektur!D$1,T0_Korrektur!F$1,T0_Korrektur!H$1)^2)/'Auswertung 3-Schicht'!N$8)))</f>
        <v>83.754205083007875</v>
      </c>
      <c r="BR38" s="82">
        <f>ABS(T0_Korrektur!C37)</f>
        <v>41.285015441440734</v>
      </c>
      <c r="BS38" s="42">
        <f>ABS(T0_Korrektur!E37)</f>
        <v>57.522256562134281</v>
      </c>
      <c r="BT38" s="42">
        <f>ABS(T0_Korrektur!I37)</f>
        <v>999</v>
      </c>
      <c r="BU38" s="79">
        <f>ABS(T0_Korrektur!M37)</f>
        <v>999</v>
      </c>
      <c r="BV38" s="120">
        <f>IF(T0_Korrektur!H37="","",T0_Korrektur!H37-Hilfsdaten!BP38)</f>
        <v>-6.0395385272863393</v>
      </c>
      <c r="BW38" s="118"/>
      <c r="BX38" s="118"/>
      <c r="BY38" s="118">
        <f>IF(T0_Korrektur!F22="","",T0_Korrektur!F22-Hilfsdaten!BP38)</f>
        <v>-15.64713852728633</v>
      </c>
      <c r="BZ38" s="120">
        <f>IF(T0_Korrektur!H37="","",T0_Korrektur!H37-Hilfsdaten!BQ38)</f>
        <v>1.4254949169921218</v>
      </c>
      <c r="CA38" s="118"/>
      <c r="CB38" s="118"/>
      <c r="CC38" s="121">
        <f>IF(T0_Korrektur!F22="","",T0_Korrektur!F22-Hilfsdaten!BQ38)</f>
        <v>-8.182105083007869</v>
      </c>
    </row>
    <row r="39" spans="1:81" x14ac:dyDescent="0.2">
      <c r="A39" s="130">
        <f>'Picks importieren'!B39</f>
        <v>142.5</v>
      </c>
      <c r="B39" s="120" t="str">
        <f>IF(AND($A39&gt;='Auswertung 2-Schicht'!C$3,$A39&lt;='Auswertung 2-Schicht'!C$4),Berechnung!C38,"")</f>
        <v/>
      </c>
      <c r="C39" s="118" t="str">
        <f>IF(AND($A39&gt;='Auswertung 2-Schicht'!D$3,$A39&lt;='Auswertung 2-Schicht'!D$4),Berechnung!D38,"")</f>
        <v/>
      </c>
      <c r="D39" s="118" t="str">
        <f>IF(AND($A39&gt;='Auswertung 2-Schicht'!E$3,$A39&lt;='Auswertung 2-Schicht'!E$4),Berechnung!G38,"")</f>
        <v/>
      </c>
      <c r="E39" s="121" t="str">
        <f>IF(AND($A39&gt;='Auswertung 2-Schicht'!F$3,$A39&lt;='Auswertung 2-Schicht'!F$4),Berechnung!F38,"")</f>
        <v/>
      </c>
      <c r="F39" s="131">
        <f>IF(AND($A39&gt;='Auswertung 2-Schicht'!H$3,$A39&lt;='Auswertung 2-Schicht'!H$4),IF('Auswertung 2-Schicht'!$H$8=1,Berechnung!I38,IF('Auswertung 2-Schicht'!$H$8=2,Berechnung!N38,Berechnung!S38)),"")</f>
        <v>131.71818810056629</v>
      </c>
      <c r="G39" s="118">
        <f>IF(AND($A39&gt;='Auswertung 2-Schicht'!H$3,$A39&lt;='Auswertung 2-Schicht'!H$4),IF('Auswertung 2-Schicht'!$H$8=1,Berechnung!J38,IF('Auswertung 2-Schicht'!$H$8=2,Berechnung!O38,Berechnung!T38)),"")</f>
        <v>36.826679856716254</v>
      </c>
      <c r="H39" s="118" t="str">
        <f>IF(AND($A39&gt;='Auswertung 2-Schicht'!I$3,$A39&lt;='Auswertung 2-Schicht'!I$4),Berechnung!K38,"")</f>
        <v/>
      </c>
      <c r="I39" s="132" t="str">
        <f>IF(AND($A39&gt;='Auswertung 2-Schicht'!J$3,$A39&lt;='Auswertung 2-Schicht'!J$4),Berechnung!L38,"")</f>
        <v/>
      </c>
      <c r="J39" s="118" t="str">
        <f>IF(AND($A39&gt;='Auswertung 2-Schicht'!K$3,$A39&lt;='Auswertung 2-Schicht'!K$4),Berechnung!P38,"")</f>
        <v/>
      </c>
      <c r="K39" s="134" t="str">
        <f>IF(AND($A39&gt;='Auswertung 2-Schicht'!L$3,$A39&lt;='Auswertung 2-Schicht'!L$4),Berechnung!Q38,"")</f>
        <v/>
      </c>
      <c r="L39" s="131">
        <f>IF('Auswertung 2-Schicht'!$H$8=1,Berechnung!I38,IF('Auswertung 2-Schicht'!$H$8=2,Berechnung!N38,Berechnung!S38))</f>
        <v>131.71818810056629</v>
      </c>
      <c r="M39" s="133">
        <f>IF('Auswertung 2-Schicht'!$H$8=1,Berechnung!J38,IF('Auswertung 2-Schicht'!$H$8=2,Berechnung!O38,Berechnung!T38))</f>
        <v>36.826679856716254</v>
      </c>
      <c r="N39" s="82">
        <f t="shared" si="34"/>
        <v>-999</v>
      </c>
      <c r="O39" s="42">
        <f t="shared" si="35"/>
        <v>-999</v>
      </c>
      <c r="P39" s="83">
        <f t="shared" si="36"/>
        <v>-999</v>
      </c>
      <c r="Q39" s="82">
        <f t="shared" si="37"/>
        <v>131.71818810056629</v>
      </c>
      <c r="R39" s="42">
        <f t="shared" si="38"/>
        <v>36.826679856716254</v>
      </c>
      <c r="S39" s="42">
        <f t="shared" si="39"/>
        <v>-999</v>
      </c>
      <c r="T39" s="42">
        <f t="shared" si="40"/>
        <v>-999</v>
      </c>
      <c r="U39" s="42">
        <f t="shared" si="41"/>
        <v>-999</v>
      </c>
      <c r="V39" s="109">
        <f t="shared" si="42"/>
        <v>-999</v>
      </c>
      <c r="W39" s="120" t="str">
        <f>IF(AND($A39&gt;='Auswertung 3-Schicht'!D$3,$A39&lt;='Auswertung 3-Schicht'!D$4),Berechnung!C38,"")</f>
        <v/>
      </c>
      <c r="X39" s="118" t="str">
        <f>IF(AND($A39&gt;='Auswertung 3-Schicht'!E$3,$A39&lt;='Auswertung 3-Schicht'!E$4),Berechnung!D38,"")</f>
        <v/>
      </c>
      <c r="Y39" s="118" t="str">
        <f>IF(AND($A39&gt;='Auswertung 3-Schicht'!F$3,$A39&lt;='Auswertung 3-Schicht'!F$4),Berechnung!E38,"")</f>
        <v/>
      </c>
      <c r="Z39" s="132" t="str">
        <f>IF(AND($A39&gt;='Auswertung 3-Schicht'!G$3,$A39&lt;='Auswertung 3-Schicht'!G$4),Berechnung!F38,"")</f>
        <v/>
      </c>
      <c r="AA39" s="118" t="str">
        <f>IF(AND($A39&gt;='Auswertung 3-Schicht'!H$3,$A39&lt;='Auswertung 3-Schicht'!H$4),Berechnung!K38,"")</f>
        <v/>
      </c>
      <c r="AB39" s="134" t="str">
        <f>IF(AND($A39&gt;='Auswertung 3-Schicht'!I$3,$A39&lt;='Auswertung 3-Schicht'!I$4),Berechnung!L38,"")</f>
        <v/>
      </c>
      <c r="AC39" s="118" t="str">
        <f>IF(AND($A39&gt;='Auswertung 3-Schicht'!J$3,$A39&lt;='Auswertung 3-Schicht'!J$4),Berechnung!P38,"")</f>
        <v/>
      </c>
      <c r="AD39" s="121" t="str">
        <f>IF(AND($A39&gt;='Auswertung 3-Schicht'!K$3,$A39&lt;='Auswertung 3-Schicht'!K$4),Berechnung!Q38,"")</f>
        <v/>
      </c>
      <c r="AE39" s="136" t="str">
        <f>IF(AND($A39&gt;='Auswertung 3-Schicht'!D$6,$A39&lt;='Auswertung 3-Schicht'!D$7),Berechnung!C38,"")</f>
        <v/>
      </c>
      <c r="AF39" s="118">
        <f>IF(AND($A39&gt;='Auswertung 3-Schicht'!E$6,$A39&lt;='Auswertung 3-Schicht'!E$7),Berechnung!D38,"")</f>
        <v>46.089075974748049</v>
      </c>
      <c r="AG39" s="118">
        <f>IF(AND($A39&gt;='Auswertung 3-Schicht'!F$6,$A39&lt;='Auswertung 3-Schicht'!F$7),Berechnung!E38,"")</f>
        <v>50.405297258516981</v>
      </c>
      <c r="AH39" s="118" t="str">
        <f>IF(AND($A39&gt;='Auswertung 3-Schicht'!G$6,$A39&lt;='Auswertung 3-Schicht'!G$7),Berechnung!F38,"")</f>
        <v/>
      </c>
      <c r="AI39" s="118" t="str">
        <f>IF(AND($A39&gt;='Auswertung 3-Schicht'!H$6,$A39&lt;='Auswertung 3-Schicht'!H$7),Berechnung!K38,"")</f>
        <v/>
      </c>
      <c r="AJ39" s="118" t="str">
        <f>IF(AND($A39&gt;='Auswertung 3-Schicht'!I$6,$A39&lt;='Auswertung 3-Schicht'!I$7),Berechnung!L38,"")</f>
        <v/>
      </c>
      <c r="AK39" s="118" t="str">
        <f>IF(AND($A39&gt;='Auswertung 3-Schicht'!J$6,$A39&lt;='Auswertung 3-Schicht'!J$7),Berechnung!P38,"")</f>
        <v/>
      </c>
      <c r="AL39" s="118" t="str">
        <f>IF(AND($A39&gt;='Auswertung 3-Schicht'!K$6,$A39&lt;='Auswertung 3-Schicht'!K$7),Berechnung!Q38,"")</f>
        <v/>
      </c>
      <c r="AM39" s="120" t="str">
        <f>IF(AND($A39&gt;='Auswertung 3-Schicht'!D$10,$A39&lt;='Auswertung 3-Schicht'!D$11),Berechnung!C38,"")</f>
        <v/>
      </c>
      <c r="AN39" s="118" t="str">
        <f>IF(AND($A39&gt;='Auswertung 3-Schicht'!E$10,$A39&lt;='Auswertung 3-Schicht'!E$11),Berechnung!D38,"")</f>
        <v/>
      </c>
      <c r="AO39" s="118" t="str">
        <f>IF(AND($A39&gt;='Auswertung 3-Schicht'!F$10,$A39&lt;='Auswertung 3-Schicht'!F$11),Berechnung!E38,"")</f>
        <v/>
      </c>
      <c r="AP39" s="118">
        <f>IF(AND($A39&gt;='Auswertung 3-Schicht'!G$10,$A39&lt;='Auswertung 3-Schicht'!G$11),Berechnung!F38,"")</f>
        <v>87.625948581771013</v>
      </c>
      <c r="AQ39" s="118" t="str">
        <f>IF(AND($A39&gt;='Auswertung 3-Schicht'!H$10,$A39&lt;='Auswertung 3-Schicht'!H$11),Berechnung!K38,"")</f>
        <v/>
      </c>
      <c r="AR39" s="118" t="str">
        <f>IF(AND($A39&gt;='Auswertung 3-Schicht'!I$10,$A39&lt;='Auswertung 3-Schicht'!I$11),Berechnung!L38,"")</f>
        <v/>
      </c>
      <c r="AS39" s="118" t="str">
        <f>IF(AND($A39&gt;='Auswertung 3-Schicht'!J$10,$A39&lt;='Auswertung 3-Schicht'!J$11),Berechnung!P38,"")</f>
        <v/>
      </c>
      <c r="AT39" s="118" t="str">
        <f>IF(AND($A39&gt;='Auswertung 3-Schicht'!K$10,$A39&lt;='Auswertung 3-Schicht'!K$11),Berechnung!Q38,"")</f>
        <v/>
      </c>
      <c r="AU39" s="82">
        <f t="shared" si="11"/>
        <v>-999</v>
      </c>
      <c r="AV39" s="42">
        <f t="shared" si="12"/>
        <v>-999</v>
      </c>
      <c r="AW39" s="79">
        <f t="shared" si="13"/>
        <v>-999</v>
      </c>
      <c r="AX39" s="79">
        <f t="shared" si="14"/>
        <v>-999</v>
      </c>
      <c r="AY39" s="79">
        <f t="shared" si="15"/>
        <v>-999</v>
      </c>
      <c r="AZ39" s="42">
        <f t="shared" si="16"/>
        <v>-999</v>
      </c>
      <c r="BA39" s="83">
        <f t="shared" si="17"/>
        <v>-999</v>
      </c>
      <c r="BB39" s="80">
        <f t="shared" si="18"/>
        <v>46.089075974748049</v>
      </c>
      <c r="BC39" s="42">
        <f t="shared" si="19"/>
        <v>50.405297258516981</v>
      </c>
      <c r="BD39" s="42">
        <f t="shared" si="20"/>
        <v>-999</v>
      </c>
      <c r="BE39" s="42">
        <f t="shared" si="21"/>
        <v>-999</v>
      </c>
      <c r="BF39" s="42">
        <f t="shared" si="22"/>
        <v>-999</v>
      </c>
      <c r="BG39" s="42">
        <f t="shared" si="23"/>
        <v>-999</v>
      </c>
      <c r="BH39" s="83">
        <f t="shared" si="24"/>
        <v>-999</v>
      </c>
      <c r="BI39" s="82">
        <f t="shared" si="25"/>
        <v>-999</v>
      </c>
      <c r="BJ39" s="42">
        <f t="shared" si="26"/>
        <v>-999</v>
      </c>
      <c r="BK39" s="42">
        <f t="shared" si="27"/>
        <v>87.625948581771013</v>
      </c>
      <c r="BL39" s="42">
        <f t="shared" si="28"/>
        <v>-999</v>
      </c>
      <c r="BM39" s="42">
        <f t="shared" si="29"/>
        <v>-999</v>
      </c>
      <c r="BN39" s="42">
        <f t="shared" si="30"/>
        <v>-999</v>
      </c>
      <c r="BO39" s="83">
        <f t="shared" si="31"/>
        <v>-999</v>
      </c>
      <c r="BP39" s="80">
        <f>IF('Auswertung 2-Schicht'!O$4="",-999,MIN(1000*SQRT((A39+1)^2+AVERAGE(T0_Korrektur!D$1,T0_Korrektur!F$1,T0_Korrektur!H$1)^2)/'Auswertung 2-Schicht'!$O$4,'Auswertung 2-Schicht'!$O$8+1000*SQRT((A39+1)^2+AVERAGE(T0_Korrektur!D$1,T0_Korrektur!F$1,T0_Korrektur!H$1)^2)/'Auswertung 2-Schicht'!$O$7))</f>
        <v>93.172162115966799</v>
      </c>
      <c r="BQ39" s="83">
        <f>IF('Auswertung 3-Schicht'!N$4="",-999,IF('Auswertung 3-Schicht'!N$8="",MIN(1000*SQRT((A39+1)^2+AVERAGE(T0_Korrektur!D$1,T0_Korrektur!F$1,T0_Korrektur!H$1)^2)/'Auswertung 3-Schicht'!N$4,'Auswertung 3-Schicht'!N$6+1000*SQRT((A39+1)^2+AVERAGE(T0_Korrektur!D$1,T0_Korrektur!F$1,T0_Korrektur!H$1)^2)/'Auswertung 3-Schicht'!N$5),MIN(1000*SQRT((A39+1)^2+AVERAGE(T0_Korrektur!D$1,T0_Korrektur!F$1,T0_Korrektur!H$1)^2)/'Auswertung 3-Schicht'!N$4,'Auswertung 3-Schicht'!N$6+1000*SQRT((A39+1)^2+AVERAGE(T0_Korrektur!D$1,T0_Korrektur!F$1,T0_Korrektur!H$1)^2)/'Auswertung 3-Schicht'!N$5,'Auswertung 3-Schicht'!N$9+1000*SQRT((A39+1)^2+AVERAGE(T0_Korrektur!D$1,T0_Korrektur!F$1,T0_Korrektur!H$1)^2)/'Auswertung 3-Schicht'!N$8)))</f>
        <v>85.284082904303091</v>
      </c>
      <c r="BR39" s="82">
        <f>ABS(T0_Korrektur!C38)</f>
        <v>46.281232697498453</v>
      </c>
      <c r="BS39" s="42">
        <f>ABS(T0_Korrektur!E38)</f>
        <v>52.524375293762418</v>
      </c>
      <c r="BT39" s="42">
        <f>ABS(T0_Korrektur!I38)</f>
        <v>999</v>
      </c>
      <c r="BU39" s="79">
        <f>ABS(T0_Korrektur!M38)</f>
        <v>999</v>
      </c>
      <c r="BV39" s="120">
        <f>IF(T0_Korrektur!H38="","",T0_Korrektur!H38-Hilfsdaten!BP39)</f>
        <v>-5.5394621159667992</v>
      </c>
      <c r="BW39" s="118"/>
      <c r="BX39" s="118"/>
      <c r="BY39" s="118">
        <f>IF(T0_Korrektur!F21="","",T0_Korrektur!F21-Hilfsdaten!BP39)</f>
        <v>-16.373562115966806</v>
      </c>
      <c r="BZ39" s="120">
        <f>IF(T0_Korrektur!H38="","",T0_Korrektur!H38-Hilfsdaten!BQ39)</f>
        <v>2.348617095696909</v>
      </c>
      <c r="CA39" s="118"/>
      <c r="CB39" s="118"/>
      <c r="CC39" s="121">
        <f>IF(T0_Korrektur!F21="","",T0_Korrektur!F21-Hilfsdaten!BQ39)</f>
        <v>-8.4854829043030975</v>
      </c>
    </row>
    <row r="40" spans="1:81" x14ac:dyDescent="0.2">
      <c r="A40" s="130">
        <f>'Picks importieren'!B40</f>
        <v>147.5</v>
      </c>
      <c r="B40" s="120" t="str">
        <f>IF(AND($A40&gt;='Auswertung 2-Schicht'!C$3,$A40&lt;='Auswertung 2-Schicht'!C$4),Berechnung!C39,"")</f>
        <v/>
      </c>
      <c r="C40" s="118" t="str">
        <f>IF(AND($A40&gt;='Auswertung 2-Schicht'!D$3,$A40&lt;='Auswertung 2-Schicht'!D$4),Berechnung!D39,"")</f>
        <v/>
      </c>
      <c r="D40" s="118" t="str">
        <f>IF(AND($A40&gt;='Auswertung 2-Schicht'!E$3,$A40&lt;='Auswertung 2-Schicht'!E$4),Berechnung!G39,"")</f>
        <v/>
      </c>
      <c r="E40" s="121" t="str">
        <f>IF(AND($A40&gt;='Auswertung 2-Schicht'!F$3,$A40&lt;='Auswertung 2-Schicht'!F$4),Berechnung!F39,"")</f>
        <v/>
      </c>
      <c r="F40" s="131">
        <f>IF(AND($A40&gt;='Auswertung 2-Schicht'!H$3,$A40&lt;='Auswertung 2-Schicht'!H$4),IF('Auswertung 2-Schicht'!$H$8=1,Berechnung!I39,IF('Auswertung 2-Schicht'!$H$8=2,Berechnung!N39,Berechnung!S39)),"")</f>
        <v>135.60591435402048</v>
      </c>
      <c r="G40" s="118">
        <f>IF(AND($A40&gt;='Auswertung 2-Schicht'!H$3,$A40&lt;='Auswertung 2-Schicht'!H$4),IF('Auswertung 2-Schicht'!$H$8=1,Berechnung!J39,IF('Auswertung 2-Schicht'!$H$8=2,Berechnung!O39,Berechnung!T39)),"")</f>
        <v>34.166350387957124</v>
      </c>
      <c r="H40" s="118" t="str">
        <f>IF(AND($A40&gt;='Auswertung 2-Schicht'!I$3,$A40&lt;='Auswertung 2-Schicht'!I$4),Berechnung!K39,"")</f>
        <v/>
      </c>
      <c r="I40" s="132" t="str">
        <f>IF(AND($A40&gt;='Auswertung 2-Schicht'!J$3,$A40&lt;='Auswertung 2-Schicht'!J$4),Berechnung!L39,"")</f>
        <v/>
      </c>
      <c r="J40" s="118" t="str">
        <f>IF(AND($A40&gt;='Auswertung 2-Schicht'!K$3,$A40&lt;='Auswertung 2-Schicht'!K$4),Berechnung!P39,"")</f>
        <v/>
      </c>
      <c r="K40" s="134" t="str">
        <f>IF(AND($A40&gt;='Auswertung 2-Schicht'!L$3,$A40&lt;='Auswertung 2-Schicht'!L$4),Berechnung!Q39,"")</f>
        <v/>
      </c>
      <c r="L40" s="131">
        <f>IF('Auswertung 2-Schicht'!$H$8=1,Berechnung!I39,IF('Auswertung 2-Schicht'!$H$8=2,Berechnung!N39,Berechnung!S39))</f>
        <v>135.60591435402048</v>
      </c>
      <c r="M40" s="133">
        <f>IF('Auswertung 2-Schicht'!$H$8=1,Berechnung!J39,IF('Auswertung 2-Schicht'!$H$8=2,Berechnung!O39,Berechnung!T39))</f>
        <v>34.166350387957124</v>
      </c>
      <c r="N40" s="82">
        <f t="shared" si="34"/>
        <v>-999</v>
      </c>
      <c r="O40" s="42">
        <f t="shared" si="35"/>
        <v>-999</v>
      </c>
      <c r="P40" s="83">
        <f t="shared" si="36"/>
        <v>-999</v>
      </c>
      <c r="Q40" s="82">
        <f t="shared" si="37"/>
        <v>135.60591435402048</v>
      </c>
      <c r="R40" s="42">
        <f t="shared" si="38"/>
        <v>34.166350387957124</v>
      </c>
      <c r="S40" s="42">
        <f t="shared" si="39"/>
        <v>-999</v>
      </c>
      <c r="T40" s="42">
        <f t="shared" si="40"/>
        <v>-999</v>
      </c>
      <c r="U40" s="42">
        <f t="shared" si="41"/>
        <v>-999</v>
      </c>
      <c r="V40" s="109">
        <f t="shared" si="42"/>
        <v>-999</v>
      </c>
      <c r="W40" s="120" t="str">
        <f>IF(AND($A40&gt;='Auswertung 3-Schicht'!D$3,$A40&lt;='Auswertung 3-Schicht'!D$4),Berechnung!C39,"")</f>
        <v/>
      </c>
      <c r="X40" s="118" t="str">
        <f>IF(AND($A40&gt;='Auswertung 3-Schicht'!E$3,$A40&lt;='Auswertung 3-Schicht'!E$4),Berechnung!D39,"")</f>
        <v/>
      </c>
      <c r="Y40" s="118" t="str">
        <f>IF(AND($A40&gt;='Auswertung 3-Schicht'!F$3,$A40&lt;='Auswertung 3-Schicht'!F$4),Berechnung!E39,"")</f>
        <v/>
      </c>
      <c r="Z40" s="132" t="str">
        <f>IF(AND($A40&gt;='Auswertung 3-Schicht'!G$3,$A40&lt;='Auswertung 3-Schicht'!G$4),Berechnung!F39,"")</f>
        <v/>
      </c>
      <c r="AA40" s="118" t="str">
        <f>IF(AND($A40&gt;='Auswertung 3-Schicht'!H$3,$A40&lt;='Auswertung 3-Schicht'!H$4),Berechnung!K39,"")</f>
        <v/>
      </c>
      <c r="AB40" s="134" t="str">
        <f>IF(AND($A40&gt;='Auswertung 3-Schicht'!I$3,$A40&lt;='Auswertung 3-Schicht'!I$4),Berechnung!L39,"")</f>
        <v/>
      </c>
      <c r="AC40" s="118" t="str">
        <f>IF(AND($A40&gt;='Auswertung 3-Schicht'!J$3,$A40&lt;='Auswertung 3-Schicht'!J$4),Berechnung!P39,"")</f>
        <v/>
      </c>
      <c r="AD40" s="121" t="str">
        <f>IF(AND($A40&gt;='Auswertung 3-Schicht'!K$3,$A40&lt;='Auswertung 3-Schicht'!K$4),Berechnung!Q39,"")</f>
        <v/>
      </c>
      <c r="AE40" s="136" t="str">
        <f>IF(AND($A40&gt;='Auswertung 3-Schicht'!D$6,$A40&lt;='Auswertung 3-Schicht'!D$7),Berechnung!C39,"")</f>
        <v/>
      </c>
      <c r="AF40" s="118">
        <f>IF(AND($A40&gt;='Auswertung 3-Schicht'!E$6,$A40&lt;='Auswertung 3-Schicht'!E$7),Berechnung!D39,"")</f>
        <v>48.153615633115365</v>
      </c>
      <c r="AG40" s="118">
        <f>IF(AND($A40&gt;='Auswertung 3-Schicht'!F$6,$A40&lt;='Auswertung 3-Schicht'!F$7),Berechnung!E39,"")</f>
        <v>47.131269397410328</v>
      </c>
      <c r="AH40" s="118" t="str">
        <f>IF(AND($A40&gt;='Auswertung 3-Schicht'!G$6,$A40&lt;='Auswertung 3-Schicht'!G$7),Berechnung!F39,"")</f>
        <v/>
      </c>
      <c r="AI40" s="118" t="str">
        <f>IF(AND($A40&gt;='Auswertung 3-Schicht'!H$6,$A40&lt;='Auswertung 3-Schicht'!H$7),Berechnung!K39,"")</f>
        <v/>
      </c>
      <c r="AJ40" s="118" t="str">
        <f>IF(AND($A40&gt;='Auswertung 3-Schicht'!I$6,$A40&lt;='Auswertung 3-Schicht'!I$7),Berechnung!L39,"")</f>
        <v/>
      </c>
      <c r="AK40" s="118" t="str">
        <f>IF(AND($A40&gt;='Auswertung 3-Schicht'!J$6,$A40&lt;='Auswertung 3-Schicht'!J$7),Berechnung!P39,"")</f>
        <v/>
      </c>
      <c r="AL40" s="118" t="str">
        <f>IF(AND($A40&gt;='Auswertung 3-Schicht'!K$6,$A40&lt;='Auswertung 3-Schicht'!K$7),Berechnung!Q39,"")</f>
        <v/>
      </c>
      <c r="AM40" s="120" t="str">
        <f>IF(AND($A40&gt;='Auswertung 3-Schicht'!D$10,$A40&lt;='Auswertung 3-Schicht'!D$11),Berechnung!C39,"")</f>
        <v/>
      </c>
      <c r="AN40" s="118" t="str">
        <f>IF(AND($A40&gt;='Auswertung 3-Schicht'!E$10,$A40&lt;='Auswertung 3-Schicht'!E$11),Berechnung!D39,"")</f>
        <v/>
      </c>
      <c r="AO40" s="118" t="str">
        <f>IF(AND($A40&gt;='Auswertung 3-Schicht'!F$10,$A40&lt;='Auswertung 3-Schicht'!F$11),Berechnung!E39,"")</f>
        <v/>
      </c>
      <c r="AP40" s="118">
        <f>IF(AND($A40&gt;='Auswertung 3-Schicht'!G$10,$A40&lt;='Auswertung 3-Schicht'!G$11),Berechnung!F39,"")</f>
        <v>88.239646974118543</v>
      </c>
      <c r="AQ40" s="118" t="str">
        <f>IF(AND($A40&gt;='Auswertung 3-Schicht'!H$10,$A40&lt;='Auswertung 3-Schicht'!H$11),Berechnung!K39,"")</f>
        <v/>
      </c>
      <c r="AR40" s="118" t="str">
        <f>IF(AND($A40&gt;='Auswertung 3-Schicht'!I$10,$A40&lt;='Auswertung 3-Schicht'!I$11),Berechnung!L39,"")</f>
        <v/>
      </c>
      <c r="AS40" s="118" t="str">
        <f>IF(AND($A40&gt;='Auswertung 3-Schicht'!J$10,$A40&lt;='Auswertung 3-Schicht'!J$11),Berechnung!P39,"")</f>
        <v/>
      </c>
      <c r="AT40" s="118" t="str">
        <f>IF(AND($A40&gt;='Auswertung 3-Schicht'!K$10,$A40&lt;='Auswertung 3-Schicht'!K$11),Berechnung!Q39,"")</f>
        <v/>
      </c>
      <c r="AU40" s="82">
        <f t="shared" si="11"/>
        <v>-999</v>
      </c>
      <c r="AV40" s="42">
        <f t="shared" si="12"/>
        <v>-999</v>
      </c>
      <c r="AW40" s="79">
        <f t="shared" si="13"/>
        <v>-999</v>
      </c>
      <c r="AX40" s="79">
        <f t="shared" si="14"/>
        <v>-999</v>
      </c>
      <c r="AY40" s="79">
        <f t="shared" si="15"/>
        <v>-999</v>
      </c>
      <c r="AZ40" s="42">
        <f t="shared" si="16"/>
        <v>-999</v>
      </c>
      <c r="BA40" s="83">
        <f t="shared" si="17"/>
        <v>-999</v>
      </c>
      <c r="BB40" s="80">
        <f t="shared" si="18"/>
        <v>48.153615633115365</v>
      </c>
      <c r="BC40" s="42">
        <f t="shared" si="19"/>
        <v>47.131269397410328</v>
      </c>
      <c r="BD40" s="42">
        <f t="shared" si="20"/>
        <v>-999</v>
      </c>
      <c r="BE40" s="42">
        <f t="shared" si="21"/>
        <v>-999</v>
      </c>
      <c r="BF40" s="42">
        <f t="shared" si="22"/>
        <v>-999</v>
      </c>
      <c r="BG40" s="42">
        <f t="shared" si="23"/>
        <v>-999</v>
      </c>
      <c r="BH40" s="83">
        <f t="shared" si="24"/>
        <v>-999</v>
      </c>
      <c r="BI40" s="82">
        <f t="shared" si="25"/>
        <v>-999</v>
      </c>
      <c r="BJ40" s="42">
        <f t="shared" si="26"/>
        <v>-999</v>
      </c>
      <c r="BK40" s="42">
        <f t="shared" si="27"/>
        <v>88.239646974118543</v>
      </c>
      <c r="BL40" s="42">
        <f t="shared" si="28"/>
        <v>-999</v>
      </c>
      <c r="BM40" s="42">
        <f t="shared" si="29"/>
        <v>-999</v>
      </c>
      <c r="BN40" s="42">
        <f t="shared" si="30"/>
        <v>-999</v>
      </c>
      <c r="BO40" s="83">
        <f t="shared" si="31"/>
        <v>-999</v>
      </c>
      <c r="BP40" s="80">
        <f>IF('Auswertung 2-Schicht'!O$4="",-999,MIN(1000*SQRT((A40+1)^2+AVERAGE(T0_Korrektur!D$1,T0_Korrektur!F$1,T0_Korrektur!H$1)^2)/'Auswertung 2-Schicht'!$O$4,'Auswertung 2-Schicht'!$O$8+1000*SQRT((A40+1)^2+AVERAGE(T0_Korrektur!D$1,T0_Korrektur!F$1,T0_Korrektur!H$1)^2)/'Auswertung 2-Schicht'!$O$7))</f>
        <v>95.125095264802795</v>
      </c>
      <c r="BQ40" s="83">
        <f>IF('Auswertung 3-Schicht'!N$4="",-999,IF('Auswertung 3-Schicht'!N$8="",MIN(1000*SQRT((A40+1)^2+AVERAGE(T0_Korrektur!D$1,T0_Korrektur!F$1,T0_Korrektur!H$1)^2)/'Auswertung 3-Schicht'!N$4,'Auswertung 3-Schicht'!N$6+1000*SQRT((A40+1)^2+AVERAGE(T0_Korrektur!D$1,T0_Korrektur!F$1,T0_Korrektur!H$1)^2)/'Auswertung 3-Schicht'!N$5),MIN(1000*SQRT((A40+1)^2+AVERAGE(T0_Korrektur!D$1,T0_Korrektur!F$1,T0_Korrektur!H$1)^2)/'Auswertung 3-Schicht'!N$4,'Auswertung 3-Schicht'!N$6+1000*SQRT((A40+1)^2+AVERAGE(T0_Korrektur!D$1,T0_Korrektur!F$1,T0_Korrektur!H$1)^2)/'Auswertung 3-Schicht'!N$5,'Auswertung 3-Schicht'!N$9+1000*SQRT((A40+1)^2+AVERAGE(T0_Korrektur!D$1,T0_Korrektur!F$1,T0_Korrektur!H$1)^2)/'Auswertung 3-Schicht'!N$8)))</f>
        <v>86.813968214816015</v>
      </c>
      <c r="BR40" s="82">
        <f>ABS(T0_Korrektur!C39)</f>
        <v>51.278187370459968</v>
      </c>
      <c r="BS40" s="42">
        <f>ABS(T0_Korrektur!E39)</f>
        <v>47.526939728957935</v>
      </c>
      <c r="BT40" s="42">
        <f>ABS(T0_Korrektur!I39)</f>
        <v>999</v>
      </c>
      <c r="BU40" s="79">
        <f>ABS(T0_Korrektur!M39)</f>
        <v>999</v>
      </c>
      <c r="BV40" s="120">
        <f>IF(T0_Korrektur!H39="","",T0_Korrektur!H39-Hilfsdaten!BP40)</f>
        <v>-6.8790952648027996</v>
      </c>
      <c r="BW40" s="118"/>
      <c r="BX40" s="118"/>
      <c r="BY40" s="118">
        <f>IF(T0_Korrektur!F20="","",T0_Korrektur!F20-Hilfsdaten!BP40)</f>
        <v>-16.691195264802801</v>
      </c>
      <c r="BZ40" s="120">
        <f>IF(T0_Korrektur!H39="","",T0_Korrektur!H39-Hilfsdaten!BQ40)</f>
        <v>1.4320317851839803</v>
      </c>
      <c r="CA40" s="118"/>
      <c r="CB40" s="118"/>
      <c r="CC40" s="121">
        <f>IF(T0_Korrektur!F20="","",T0_Korrektur!F20-Hilfsdaten!BQ40)</f>
        <v>-8.3800682148160206</v>
      </c>
    </row>
    <row r="41" spans="1:81" x14ac:dyDescent="0.2">
      <c r="A41" s="130">
        <f>'Picks importieren'!B41</f>
        <v>152.5</v>
      </c>
      <c r="B41" s="120" t="str">
        <f>IF(AND($A41&gt;='Auswertung 2-Schicht'!C$3,$A41&lt;='Auswertung 2-Schicht'!C$4),Berechnung!C40,"")</f>
        <v/>
      </c>
      <c r="C41" s="118" t="str">
        <f>IF(AND($A41&gt;='Auswertung 2-Schicht'!D$3,$A41&lt;='Auswertung 2-Schicht'!D$4),Berechnung!D40,"")</f>
        <v/>
      </c>
      <c r="D41" s="118" t="str">
        <f>IF(AND($A41&gt;='Auswertung 2-Schicht'!E$3,$A41&lt;='Auswertung 2-Schicht'!E$4),Berechnung!G40,"")</f>
        <v/>
      </c>
      <c r="E41" s="121" t="str">
        <f>IF(AND($A41&gt;='Auswertung 2-Schicht'!F$3,$A41&lt;='Auswertung 2-Schicht'!F$4),Berechnung!F40,"")</f>
        <v/>
      </c>
      <c r="F41" s="131">
        <f>IF(AND($A41&gt;='Auswertung 2-Schicht'!H$3,$A41&lt;='Auswertung 2-Schicht'!H$4),IF('Auswertung 2-Schicht'!$H$8=1,Berechnung!I40,IF('Auswertung 2-Schicht'!$H$8=2,Berechnung!N40,Berechnung!S40)),"")</f>
        <v>140.1243015669703</v>
      </c>
      <c r="G41" s="118">
        <f>IF(AND($A41&gt;='Auswertung 2-Schicht'!H$3,$A41&lt;='Auswertung 2-Schicht'!H$4),IF('Auswertung 2-Schicht'!$H$8=1,Berechnung!J40,IF('Auswertung 2-Schicht'!$H$8=2,Berechnung!O40,Berechnung!T40)),"")</f>
        <v>32.5423745085115</v>
      </c>
      <c r="H41" s="118" t="str">
        <f>IF(AND($A41&gt;='Auswertung 2-Schicht'!I$3,$A41&lt;='Auswertung 2-Schicht'!I$4),Berechnung!K40,"")</f>
        <v/>
      </c>
      <c r="I41" s="132" t="str">
        <f>IF(AND($A41&gt;='Auswertung 2-Schicht'!J$3,$A41&lt;='Auswertung 2-Schicht'!J$4),Berechnung!L40,"")</f>
        <v/>
      </c>
      <c r="J41" s="118" t="str">
        <f>IF(AND($A41&gt;='Auswertung 2-Schicht'!K$3,$A41&lt;='Auswertung 2-Schicht'!K$4),Berechnung!P40,"")</f>
        <v/>
      </c>
      <c r="K41" s="134" t="str">
        <f>IF(AND($A41&gt;='Auswertung 2-Schicht'!L$3,$A41&lt;='Auswertung 2-Schicht'!L$4),Berechnung!Q40,"")</f>
        <v/>
      </c>
      <c r="L41" s="131">
        <f>IF('Auswertung 2-Schicht'!$H$8=1,Berechnung!I40,IF('Auswertung 2-Schicht'!$H$8=2,Berechnung!N40,Berechnung!S40))</f>
        <v>140.1243015669703</v>
      </c>
      <c r="M41" s="133">
        <f>IF('Auswertung 2-Schicht'!$H$8=1,Berechnung!J40,IF('Auswertung 2-Schicht'!$H$8=2,Berechnung!O40,Berechnung!T40))</f>
        <v>32.5423745085115</v>
      </c>
      <c r="N41" s="82">
        <f t="shared" si="34"/>
        <v>-999</v>
      </c>
      <c r="O41" s="42">
        <f t="shared" si="35"/>
        <v>-999</v>
      </c>
      <c r="P41" s="83">
        <f t="shared" si="36"/>
        <v>-999</v>
      </c>
      <c r="Q41" s="82">
        <f t="shared" si="37"/>
        <v>140.1243015669703</v>
      </c>
      <c r="R41" s="42">
        <f t="shared" si="38"/>
        <v>32.5423745085115</v>
      </c>
      <c r="S41" s="42">
        <f t="shared" si="39"/>
        <v>-999</v>
      </c>
      <c r="T41" s="42">
        <f t="shared" si="40"/>
        <v>-999</v>
      </c>
      <c r="U41" s="42">
        <f t="shared" si="41"/>
        <v>-999</v>
      </c>
      <c r="V41" s="109">
        <f t="shared" si="42"/>
        <v>-999</v>
      </c>
      <c r="W41" s="120" t="str">
        <f>IF(AND($A41&gt;='Auswertung 3-Schicht'!D$3,$A41&lt;='Auswertung 3-Schicht'!D$4),Berechnung!C40,"")</f>
        <v/>
      </c>
      <c r="X41" s="118" t="str">
        <f>IF(AND($A41&gt;='Auswertung 3-Schicht'!E$3,$A41&lt;='Auswertung 3-Schicht'!E$4),Berechnung!D40,"")</f>
        <v/>
      </c>
      <c r="Y41" s="118" t="str">
        <f>IF(AND($A41&gt;='Auswertung 3-Schicht'!F$3,$A41&lt;='Auswertung 3-Schicht'!F$4),Berechnung!E40,"")</f>
        <v/>
      </c>
      <c r="Z41" s="132" t="str">
        <f>IF(AND($A41&gt;='Auswertung 3-Schicht'!G$3,$A41&lt;='Auswertung 3-Schicht'!G$4),Berechnung!F40,"")</f>
        <v/>
      </c>
      <c r="AA41" s="118" t="str">
        <f>IF(AND($A41&gt;='Auswertung 3-Schicht'!H$3,$A41&lt;='Auswertung 3-Schicht'!H$4),Berechnung!K40,"")</f>
        <v/>
      </c>
      <c r="AB41" s="134" t="str">
        <f>IF(AND($A41&gt;='Auswertung 3-Schicht'!I$3,$A41&lt;='Auswertung 3-Schicht'!I$4),Berechnung!L40,"")</f>
        <v/>
      </c>
      <c r="AC41" s="118" t="str">
        <f>IF(AND($A41&gt;='Auswertung 3-Schicht'!J$3,$A41&lt;='Auswertung 3-Schicht'!J$4),Berechnung!P40,"")</f>
        <v/>
      </c>
      <c r="AD41" s="121" t="str">
        <f>IF(AND($A41&gt;='Auswertung 3-Schicht'!K$3,$A41&lt;='Auswertung 3-Schicht'!K$4),Berechnung!Q40,"")</f>
        <v/>
      </c>
      <c r="AE41" s="136" t="str">
        <f>IF(AND($A41&gt;='Auswertung 3-Schicht'!D$6,$A41&lt;='Auswertung 3-Schicht'!D$7),Berechnung!C40,"")</f>
        <v/>
      </c>
      <c r="AF41" s="118">
        <f>IF(AND($A41&gt;='Auswertung 3-Schicht'!E$6,$A41&lt;='Auswertung 3-Schicht'!E$7),Berechnung!D40,"")</f>
        <v>50.814198891165219</v>
      </c>
      <c r="AG41" s="118">
        <f>IF(AND($A41&gt;='Auswertung 3-Schicht'!F$6,$A41&lt;='Auswertung 3-Schicht'!F$7),Berechnung!E40,"")</f>
        <v>44.0600878512126</v>
      </c>
      <c r="AH41" s="118" t="str">
        <f>IF(AND($A41&gt;='Auswertung 3-Schicht'!G$6,$A41&lt;='Auswertung 3-Schicht'!G$7),Berechnung!F40,"")</f>
        <v/>
      </c>
      <c r="AI41" s="118" t="str">
        <f>IF(AND($A41&gt;='Auswertung 3-Schicht'!H$6,$A41&lt;='Auswertung 3-Schicht'!H$7),Berechnung!K40,"")</f>
        <v/>
      </c>
      <c r="AJ41" s="118" t="str">
        <f>IF(AND($A41&gt;='Auswertung 3-Schicht'!I$6,$A41&lt;='Auswertung 3-Schicht'!I$7),Berechnung!L40,"")</f>
        <v/>
      </c>
      <c r="AK41" s="118" t="str">
        <f>IF(AND($A41&gt;='Auswertung 3-Schicht'!J$6,$A41&lt;='Auswertung 3-Schicht'!J$7),Berechnung!P40,"")</f>
        <v/>
      </c>
      <c r="AL41" s="118" t="str">
        <f>IF(AND($A41&gt;='Auswertung 3-Schicht'!K$6,$A41&lt;='Auswertung 3-Schicht'!K$7),Berechnung!Q40,"")</f>
        <v/>
      </c>
      <c r="AM41" s="120" t="str">
        <f>IF(AND($A41&gt;='Auswertung 3-Schicht'!D$10,$A41&lt;='Auswertung 3-Schicht'!D$11),Berechnung!C40,"")</f>
        <v/>
      </c>
      <c r="AN41" s="118" t="str">
        <f>IF(AND($A41&gt;='Auswertung 3-Schicht'!E$10,$A41&lt;='Auswertung 3-Schicht'!E$11),Berechnung!D40,"")</f>
        <v/>
      </c>
      <c r="AO41" s="118" t="str">
        <f>IF(AND($A41&gt;='Auswertung 3-Schicht'!F$10,$A41&lt;='Auswertung 3-Schicht'!F$11),Berechnung!E40,"")</f>
        <v/>
      </c>
      <c r="AP41" s="118">
        <f>IF(AND($A41&gt;='Auswertung 3-Schicht'!G$10,$A41&lt;='Auswertung 3-Schicht'!G$11),Berechnung!F40,"")</f>
        <v>89.686852640870654</v>
      </c>
      <c r="AQ41" s="118" t="str">
        <f>IF(AND($A41&gt;='Auswertung 3-Schicht'!H$10,$A41&lt;='Auswertung 3-Schicht'!H$11),Berechnung!K40,"")</f>
        <v/>
      </c>
      <c r="AR41" s="118" t="str">
        <f>IF(AND($A41&gt;='Auswertung 3-Schicht'!I$10,$A41&lt;='Auswertung 3-Schicht'!I$11),Berechnung!L40,"")</f>
        <v/>
      </c>
      <c r="AS41" s="118" t="str">
        <f>IF(AND($A41&gt;='Auswertung 3-Schicht'!J$10,$A41&lt;='Auswertung 3-Schicht'!J$11),Berechnung!P40,"")</f>
        <v/>
      </c>
      <c r="AT41" s="118" t="str">
        <f>IF(AND($A41&gt;='Auswertung 3-Schicht'!K$10,$A41&lt;='Auswertung 3-Schicht'!K$11),Berechnung!Q40,"")</f>
        <v/>
      </c>
      <c r="AU41" s="82">
        <f t="shared" si="11"/>
        <v>-999</v>
      </c>
      <c r="AV41" s="42">
        <f t="shared" si="12"/>
        <v>-999</v>
      </c>
      <c r="AW41" s="79">
        <f t="shared" si="13"/>
        <v>-999</v>
      </c>
      <c r="AX41" s="79">
        <f t="shared" si="14"/>
        <v>-999</v>
      </c>
      <c r="AY41" s="79">
        <f t="shared" si="15"/>
        <v>-999</v>
      </c>
      <c r="AZ41" s="42">
        <f t="shared" si="16"/>
        <v>-999</v>
      </c>
      <c r="BA41" s="83">
        <f t="shared" si="17"/>
        <v>-999</v>
      </c>
      <c r="BB41" s="80">
        <f t="shared" si="18"/>
        <v>50.814198891165219</v>
      </c>
      <c r="BC41" s="42">
        <f t="shared" si="19"/>
        <v>44.0600878512126</v>
      </c>
      <c r="BD41" s="42">
        <f t="shared" si="20"/>
        <v>-999</v>
      </c>
      <c r="BE41" s="42">
        <f t="shared" si="21"/>
        <v>-999</v>
      </c>
      <c r="BF41" s="42">
        <f t="shared" si="22"/>
        <v>-999</v>
      </c>
      <c r="BG41" s="42">
        <f t="shared" si="23"/>
        <v>-999</v>
      </c>
      <c r="BH41" s="83">
        <f t="shared" si="24"/>
        <v>-999</v>
      </c>
      <c r="BI41" s="82">
        <f t="shared" si="25"/>
        <v>-999</v>
      </c>
      <c r="BJ41" s="42">
        <f t="shared" si="26"/>
        <v>-999</v>
      </c>
      <c r="BK41" s="42">
        <f t="shared" si="27"/>
        <v>89.686852640870654</v>
      </c>
      <c r="BL41" s="42">
        <f t="shared" si="28"/>
        <v>-999</v>
      </c>
      <c r="BM41" s="42">
        <f t="shared" si="29"/>
        <v>-999</v>
      </c>
      <c r="BN41" s="42">
        <f t="shared" si="30"/>
        <v>-999</v>
      </c>
      <c r="BO41" s="83">
        <f t="shared" si="31"/>
        <v>-999</v>
      </c>
      <c r="BP41" s="80">
        <f>IF('Auswertung 2-Schicht'!O$4="",-999,MIN(1000*SQRT((A41+1)^2+AVERAGE(T0_Korrektur!D$1,T0_Korrektur!F$1,T0_Korrektur!H$1)^2)/'Auswertung 2-Schicht'!$O$4,'Auswertung 2-Schicht'!$O$8+1000*SQRT((A41+1)^2+AVERAGE(T0_Korrektur!D$1,T0_Korrektur!F$1,T0_Korrektur!H$1)^2)/'Auswertung 2-Schicht'!$O$7))</f>
        <v>97.078037039697762</v>
      </c>
      <c r="BQ41" s="83">
        <f>IF('Auswertung 3-Schicht'!N$4="",-999,IF('Auswertung 3-Schicht'!N$8="",MIN(1000*SQRT((A41+1)^2+AVERAGE(T0_Korrektur!D$1,T0_Korrektur!F$1,T0_Korrektur!H$1)^2)/'Auswertung 3-Schicht'!N$4,'Auswertung 3-Schicht'!N$6+1000*SQRT((A41+1)^2+AVERAGE(T0_Korrektur!D$1,T0_Korrektur!F$1,T0_Korrektur!H$1)^2)/'Auswertung 3-Schicht'!N$5),MIN(1000*SQRT((A41+1)^2+AVERAGE(T0_Korrektur!D$1,T0_Korrektur!F$1,T0_Korrektur!H$1)^2)/'Auswertung 3-Schicht'!N$4,'Auswertung 3-Schicht'!N$6+1000*SQRT((A41+1)^2+AVERAGE(T0_Korrektur!D$1,T0_Korrektur!F$1,T0_Korrektur!H$1)^2)/'Auswertung 3-Schicht'!N$5,'Auswertung 3-Schicht'!N$9+1000*SQRT((A41+1)^2+AVERAGE(T0_Korrektur!D$1,T0_Korrektur!F$1,T0_Korrektur!H$1)^2)/'Auswertung 3-Schicht'!N$8)))</f>
        <v>88.343860282795731</v>
      </c>
      <c r="BR41" s="82">
        <f>ABS(T0_Korrektur!C40)</f>
        <v>56.275683025619507</v>
      </c>
      <c r="BS41" s="42">
        <f>ABS(T0_Korrektur!E40)</f>
        <v>42.530106983171343</v>
      </c>
      <c r="BT41" s="42">
        <f>ABS(T0_Korrektur!I40)</f>
        <v>999</v>
      </c>
      <c r="BU41" s="79">
        <f>ABS(T0_Korrektur!M40)</f>
        <v>999</v>
      </c>
      <c r="BV41" s="120">
        <f>IF(T0_Korrektur!H40="","",T0_Korrektur!H40-Hilfsdaten!BP41)</f>
        <v>-7.3851370396977671</v>
      </c>
      <c r="BW41" s="118"/>
      <c r="BX41" s="118"/>
      <c r="BY41" s="118">
        <f>IF(T0_Korrektur!F19="","",T0_Korrektur!F19-Hilfsdaten!BP41)</f>
        <v>-17.008737039697763</v>
      </c>
      <c r="BZ41" s="120">
        <f>IF(T0_Korrektur!H40="","",T0_Korrektur!H40-Hilfsdaten!BQ41)</f>
        <v>1.3490397172042634</v>
      </c>
      <c r="CA41" s="118"/>
      <c r="CB41" s="118"/>
      <c r="CC41" s="121">
        <f>IF(T0_Korrektur!F19="","",T0_Korrektur!F19-Hilfsdaten!BQ41)</f>
        <v>-8.2745602827957327</v>
      </c>
    </row>
    <row r="42" spans="1:81" x14ac:dyDescent="0.2">
      <c r="A42" s="130">
        <f>'Picks importieren'!B42</f>
        <v>157.5</v>
      </c>
      <c r="B42" s="120" t="str">
        <f>IF(AND($A42&gt;='Auswertung 2-Schicht'!C$3,$A42&lt;='Auswertung 2-Schicht'!C$4),Berechnung!C41,"")</f>
        <v/>
      </c>
      <c r="C42" s="118" t="str">
        <f>IF(AND($A42&gt;='Auswertung 2-Schicht'!D$3,$A42&lt;='Auswertung 2-Schicht'!D$4),Berechnung!D41,"")</f>
        <v/>
      </c>
      <c r="D42" s="118" t="str">
        <f>IF(AND($A42&gt;='Auswertung 2-Schicht'!E$3,$A42&lt;='Auswertung 2-Schicht'!E$4),Berechnung!G41,"")</f>
        <v/>
      </c>
      <c r="E42" s="121" t="str">
        <f>IF(AND($A42&gt;='Auswertung 2-Schicht'!F$3,$A42&lt;='Auswertung 2-Schicht'!F$4),Berechnung!F41,"")</f>
        <v/>
      </c>
      <c r="F42" s="131">
        <f>IF(AND($A42&gt;='Auswertung 2-Schicht'!H$3,$A42&lt;='Auswertung 2-Schicht'!H$4),IF('Auswertung 2-Schicht'!$H$8=1,Berechnung!I41,IF('Auswertung 2-Schicht'!$H$8=2,Berechnung!N41,Berechnung!S41)),"")</f>
        <v>144.45251912140776</v>
      </c>
      <c r="G42" s="118">
        <f>IF(AND($A42&gt;='Auswertung 2-Schicht'!H$3,$A42&lt;='Auswertung 2-Schicht'!H$4),IF('Auswertung 2-Schicht'!$H$8=1,Berechnung!J41,IF('Auswertung 2-Schicht'!$H$8=2,Berechnung!O41,Berechnung!T41)),"")</f>
        <v>31.543690348806194</v>
      </c>
      <c r="H42" s="118" t="str">
        <f>IF(AND($A42&gt;='Auswertung 2-Schicht'!I$3,$A42&lt;='Auswertung 2-Schicht'!I$4),Berechnung!K41,"")</f>
        <v/>
      </c>
      <c r="I42" s="132" t="str">
        <f>IF(AND($A42&gt;='Auswertung 2-Schicht'!J$3,$A42&lt;='Auswertung 2-Schicht'!J$4),Berechnung!L41,"")</f>
        <v/>
      </c>
      <c r="J42" s="118" t="str">
        <f>IF(AND($A42&gt;='Auswertung 2-Schicht'!K$3,$A42&lt;='Auswertung 2-Schicht'!K$4),Berechnung!P41,"")</f>
        <v/>
      </c>
      <c r="K42" s="134" t="str">
        <f>IF(AND($A42&gt;='Auswertung 2-Schicht'!L$3,$A42&lt;='Auswertung 2-Schicht'!L$4),Berechnung!Q41,"")</f>
        <v/>
      </c>
      <c r="L42" s="131">
        <f>IF('Auswertung 2-Schicht'!$H$8=1,Berechnung!I41,IF('Auswertung 2-Schicht'!$H$8=2,Berechnung!N41,Berechnung!S41))</f>
        <v>144.45251912140776</v>
      </c>
      <c r="M42" s="133">
        <f>IF('Auswertung 2-Schicht'!$H$8=1,Berechnung!J41,IF('Auswertung 2-Schicht'!$H$8=2,Berechnung!O41,Berechnung!T41))</f>
        <v>31.543690348806194</v>
      </c>
      <c r="N42" s="82">
        <f t="shared" si="34"/>
        <v>-999</v>
      </c>
      <c r="O42" s="42">
        <f t="shared" si="35"/>
        <v>-999</v>
      </c>
      <c r="P42" s="83">
        <f t="shared" si="36"/>
        <v>-999</v>
      </c>
      <c r="Q42" s="82">
        <f t="shared" si="37"/>
        <v>144.45251912140776</v>
      </c>
      <c r="R42" s="42">
        <f t="shared" si="38"/>
        <v>31.543690348806194</v>
      </c>
      <c r="S42" s="42">
        <f t="shared" si="39"/>
        <v>-999</v>
      </c>
      <c r="T42" s="42">
        <f t="shared" si="40"/>
        <v>-999</v>
      </c>
      <c r="U42" s="42">
        <f t="shared" si="41"/>
        <v>-999</v>
      </c>
      <c r="V42" s="109">
        <f t="shared" si="42"/>
        <v>-999</v>
      </c>
      <c r="W42" s="120" t="str">
        <f>IF(AND($A42&gt;='Auswertung 3-Schicht'!D$3,$A42&lt;='Auswertung 3-Schicht'!D$4),Berechnung!C41,"")</f>
        <v/>
      </c>
      <c r="X42" s="118" t="str">
        <f>IF(AND($A42&gt;='Auswertung 3-Schicht'!E$3,$A42&lt;='Auswertung 3-Schicht'!E$4),Berechnung!D41,"")</f>
        <v/>
      </c>
      <c r="Y42" s="118" t="str">
        <f>IF(AND($A42&gt;='Auswertung 3-Schicht'!F$3,$A42&lt;='Auswertung 3-Schicht'!F$4),Berechnung!E41,"")</f>
        <v/>
      </c>
      <c r="Z42" s="132" t="str">
        <f>IF(AND($A42&gt;='Auswertung 3-Schicht'!G$3,$A42&lt;='Auswertung 3-Schicht'!G$4),Berechnung!F41,"")</f>
        <v/>
      </c>
      <c r="AA42" s="118" t="str">
        <f>IF(AND($A42&gt;='Auswertung 3-Schicht'!H$3,$A42&lt;='Auswertung 3-Schicht'!H$4),Berechnung!K41,"")</f>
        <v/>
      </c>
      <c r="AB42" s="134" t="str">
        <f>IF(AND($A42&gt;='Auswertung 3-Schicht'!I$3,$A42&lt;='Auswertung 3-Schicht'!I$4),Berechnung!L41,"")</f>
        <v/>
      </c>
      <c r="AC42" s="118" t="str">
        <f>IF(AND($A42&gt;='Auswertung 3-Schicht'!J$3,$A42&lt;='Auswertung 3-Schicht'!J$4),Berechnung!P41,"")</f>
        <v/>
      </c>
      <c r="AD42" s="121" t="str">
        <f>IF(AND($A42&gt;='Auswertung 3-Schicht'!K$3,$A42&lt;='Auswertung 3-Schicht'!K$4),Berechnung!Q41,"")</f>
        <v/>
      </c>
      <c r="AE42" s="136" t="str">
        <f>IF(AND($A42&gt;='Auswertung 3-Schicht'!D$6,$A42&lt;='Auswertung 3-Schicht'!D$7),Berechnung!C41,"")</f>
        <v/>
      </c>
      <c r="AF42" s="118">
        <f>IF(AND($A42&gt;='Auswertung 3-Schicht'!E$6,$A42&lt;='Auswertung 3-Schicht'!E$7),Berechnung!D41,"")</f>
        <v>53.474407075664928</v>
      </c>
      <c r="AG42" s="118">
        <f>IF(AND($A42&gt;='Auswertung 3-Schicht'!F$6,$A42&lt;='Auswertung 3-Schicht'!F$7),Berechnung!E41,"")</f>
        <v>41.396636994141218</v>
      </c>
      <c r="AH42" s="118" t="str">
        <f>IF(AND($A42&gt;='Auswertung 3-Schicht'!G$6,$A42&lt;='Auswertung 3-Schicht'!G$7),Berechnung!F41,"")</f>
        <v/>
      </c>
      <c r="AI42" s="118" t="str">
        <f>IF(AND($A42&gt;='Auswertung 3-Schicht'!H$6,$A42&lt;='Auswertung 3-Schicht'!H$7),Berechnung!K41,"")</f>
        <v/>
      </c>
      <c r="AJ42" s="118" t="str">
        <f>IF(AND($A42&gt;='Auswertung 3-Schicht'!I$6,$A42&lt;='Auswertung 3-Schicht'!I$7),Berechnung!L41,"")</f>
        <v/>
      </c>
      <c r="AK42" s="118" t="str">
        <f>IF(AND($A42&gt;='Auswertung 3-Schicht'!J$6,$A42&lt;='Auswertung 3-Schicht'!J$7),Berechnung!P41,"")</f>
        <v/>
      </c>
      <c r="AL42" s="118" t="str">
        <f>IF(AND($A42&gt;='Auswertung 3-Schicht'!K$6,$A42&lt;='Auswertung 3-Schicht'!K$7),Berechnung!Q41,"")</f>
        <v/>
      </c>
      <c r="AM42" s="120" t="str">
        <f>IF(AND($A42&gt;='Auswertung 3-Schicht'!D$10,$A42&lt;='Auswertung 3-Schicht'!D$11),Berechnung!C41,"")</f>
        <v/>
      </c>
      <c r="AN42" s="118" t="str">
        <f>IF(AND($A42&gt;='Auswertung 3-Schicht'!E$10,$A42&lt;='Auswertung 3-Schicht'!E$11),Berechnung!D41,"")</f>
        <v/>
      </c>
      <c r="AO42" s="118" t="str">
        <f>IF(AND($A42&gt;='Auswertung 3-Schicht'!F$10,$A42&lt;='Auswertung 3-Schicht'!F$11),Berechnung!E41,"")</f>
        <v/>
      </c>
      <c r="AP42" s="118">
        <f>IF(AND($A42&gt;='Auswertung 3-Schicht'!G$10,$A42&lt;='Auswertung 3-Schicht'!G$11),Berechnung!F41,"")</f>
        <v>91.351619338236702</v>
      </c>
      <c r="AQ42" s="118" t="str">
        <f>IF(AND($A42&gt;='Auswertung 3-Schicht'!H$10,$A42&lt;='Auswertung 3-Schicht'!H$11),Berechnung!K41,"")</f>
        <v/>
      </c>
      <c r="AR42" s="118" t="str">
        <f>IF(AND($A42&gt;='Auswertung 3-Schicht'!I$10,$A42&lt;='Auswertung 3-Schicht'!I$11),Berechnung!L41,"")</f>
        <v/>
      </c>
      <c r="AS42" s="118" t="str">
        <f>IF(AND($A42&gt;='Auswertung 3-Schicht'!J$10,$A42&lt;='Auswertung 3-Schicht'!J$11),Berechnung!P41,"")</f>
        <v/>
      </c>
      <c r="AT42" s="118" t="str">
        <f>IF(AND($A42&gt;='Auswertung 3-Schicht'!K$10,$A42&lt;='Auswertung 3-Schicht'!K$11),Berechnung!Q41,"")</f>
        <v/>
      </c>
      <c r="AU42" s="82">
        <f t="shared" si="11"/>
        <v>-999</v>
      </c>
      <c r="AV42" s="42">
        <f t="shared" si="12"/>
        <v>-999</v>
      </c>
      <c r="AW42" s="79">
        <f t="shared" si="13"/>
        <v>-999</v>
      </c>
      <c r="AX42" s="79">
        <f t="shared" si="14"/>
        <v>-999</v>
      </c>
      <c r="AY42" s="79">
        <f t="shared" si="15"/>
        <v>-999</v>
      </c>
      <c r="AZ42" s="42">
        <f t="shared" si="16"/>
        <v>-999</v>
      </c>
      <c r="BA42" s="83">
        <f t="shared" si="17"/>
        <v>-999</v>
      </c>
      <c r="BB42" s="80">
        <f t="shared" si="18"/>
        <v>53.474407075664928</v>
      </c>
      <c r="BC42" s="42">
        <f t="shared" si="19"/>
        <v>41.396636994141218</v>
      </c>
      <c r="BD42" s="42">
        <f t="shared" si="20"/>
        <v>-999</v>
      </c>
      <c r="BE42" s="42">
        <f t="shared" si="21"/>
        <v>-999</v>
      </c>
      <c r="BF42" s="42">
        <f t="shared" si="22"/>
        <v>-999</v>
      </c>
      <c r="BG42" s="42">
        <f t="shared" si="23"/>
        <v>-999</v>
      </c>
      <c r="BH42" s="83">
        <f t="shared" si="24"/>
        <v>-999</v>
      </c>
      <c r="BI42" s="82">
        <f t="shared" si="25"/>
        <v>-999</v>
      </c>
      <c r="BJ42" s="42">
        <f t="shared" si="26"/>
        <v>-999</v>
      </c>
      <c r="BK42" s="42">
        <f t="shared" si="27"/>
        <v>91.351619338236702</v>
      </c>
      <c r="BL42" s="42">
        <f t="shared" si="28"/>
        <v>-999</v>
      </c>
      <c r="BM42" s="42">
        <f t="shared" si="29"/>
        <v>-999</v>
      </c>
      <c r="BN42" s="42">
        <f t="shared" si="30"/>
        <v>-999</v>
      </c>
      <c r="BO42" s="83">
        <f t="shared" si="31"/>
        <v>-999</v>
      </c>
      <c r="BP42" s="80">
        <f>IF('Auswertung 2-Schicht'!O$4="",-999,MIN(1000*SQRT((A42+1)^2+AVERAGE(T0_Korrektur!D$1,T0_Korrektur!F$1,T0_Korrektur!H$1)^2)/'Auswertung 2-Schicht'!$O$4,'Auswertung 2-Schicht'!$O$8+1000*SQRT((A42+1)^2+AVERAGE(T0_Korrektur!D$1,T0_Korrektur!F$1,T0_Korrektur!H$1)^2)/'Auswertung 2-Schicht'!$O$7))</f>
        <v>99.030986624404179</v>
      </c>
      <c r="BQ42" s="83">
        <f>IF('Auswertung 3-Schicht'!N$4="",-999,IF('Auswertung 3-Schicht'!N$8="",MIN(1000*SQRT((A42+1)^2+AVERAGE(T0_Korrektur!D$1,T0_Korrektur!F$1,T0_Korrektur!H$1)^2)/'Auswertung 3-Schicht'!N$4,'Auswertung 3-Schicht'!N$6+1000*SQRT((A42+1)^2+AVERAGE(T0_Korrektur!D$1,T0_Korrektur!F$1,T0_Korrektur!H$1)^2)/'Auswertung 3-Schicht'!N$5),MIN(1000*SQRT((A42+1)^2+AVERAGE(T0_Korrektur!D$1,T0_Korrektur!F$1,T0_Korrektur!H$1)^2)/'Auswertung 3-Schicht'!N$4,'Auswertung 3-Schicht'!N$6+1000*SQRT((A42+1)^2+AVERAGE(T0_Korrektur!D$1,T0_Korrektur!F$1,T0_Korrektur!H$1)^2)/'Auswertung 3-Schicht'!N$5,'Auswertung 3-Schicht'!N$9+1000*SQRT((A42+1)^2+AVERAGE(T0_Korrektur!D$1,T0_Korrektur!F$1,T0_Korrektur!H$1)^2)/'Auswertung 3-Schicht'!N$8)))</f>
        <v>89.873758468811701</v>
      </c>
      <c r="BR42" s="82">
        <f>ABS(T0_Korrektur!C41)</f>
        <v>61.273587295016441</v>
      </c>
      <c r="BS42" s="42">
        <f>ABS(T0_Korrektur!E41)</f>
        <v>37.534117812997813</v>
      </c>
      <c r="BT42" s="42">
        <f>ABS(T0_Korrektur!I41)</f>
        <v>999</v>
      </c>
      <c r="BU42" s="79">
        <f>ABS(T0_Korrektur!M41)</f>
        <v>999</v>
      </c>
      <c r="BV42" s="120">
        <f>IF(T0_Korrektur!H41="","",T0_Korrektur!H41-Hilfsdaten!BP42)</f>
        <v>-7.6735866244041802</v>
      </c>
      <c r="BW42" s="118"/>
      <c r="BX42" s="118"/>
      <c r="BY42" s="118">
        <f>IF(T0_Korrektur!F18="","",T0_Korrektur!F18-Hilfsdaten!BP42)</f>
        <v>-17.530786624404172</v>
      </c>
      <c r="BZ42" s="120">
        <f>IF(T0_Korrektur!H41="","",T0_Korrektur!H41-Hilfsdaten!BQ42)</f>
        <v>1.4836415311882973</v>
      </c>
      <c r="CA42" s="118"/>
      <c r="CB42" s="118"/>
      <c r="CC42" s="121">
        <f>IF(T0_Korrektur!F18="","",T0_Korrektur!F18-Hilfsdaten!BQ42)</f>
        <v>-8.3735584688116944</v>
      </c>
    </row>
    <row r="43" spans="1:81" x14ac:dyDescent="0.2">
      <c r="A43" s="130">
        <f>'Picks importieren'!B43</f>
        <v>162.5</v>
      </c>
      <c r="B43" s="120" t="str">
        <f>IF(AND($A43&gt;='Auswertung 2-Schicht'!C$3,$A43&lt;='Auswertung 2-Schicht'!C$4),Berechnung!C42,"")</f>
        <v/>
      </c>
      <c r="C43" s="118" t="str">
        <f>IF(AND($A43&gt;='Auswertung 2-Schicht'!D$3,$A43&lt;='Auswertung 2-Schicht'!D$4),Berechnung!D42,"")</f>
        <v/>
      </c>
      <c r="D43" s="118" t="str">
        <f>IF(AND($A43&gt;='Auswertung 2-Schicht'!E$3,$A43&lt;='Auswertung 2-Schicht'!E$4),Berechnung!G42,"")</f>
        <v/>
      </c>
      <c r="E43" s="121" t="str">
        <f>IF(AND($A43&gt;='Auswertung 2-Schicht'!F$3,$A43&lt;='Auswertung 2-Schicht'!F$4),Berechnung!F42,"")</f>
        <v/>
      </c>
      <c r="F43" s="131">
        <f>IF(AND($A43&gt;='Auswertung 2-Schicht'!H$3,$A43&lt;='Auswertung 2-Schicht'!H$4),IF('Auswertung 2-Schicht'!$H$8=1,Berechnung!I42,IF('Auswertung 2-Schicht'!$H$8=2,Berechnung!N42,Berechnung!S42)),"")</f>
        <v>148.30036646878321</v>
      </c>
      <c r="G43" s="118">
        <f>IF(AND($A43&gt;='Auswertung 2-Schicht'!H$3,$A43&lt;='Auswertung 2-Schicht'!H$4),IF('Auswertung 2-Schicht'!$H$8=1,Berechnung!J42,IF('Auswertung 2-Schicht'!$H$8=2,Berechnung!O42,Berechnung!T42)),"")</f>
        <v>29.241441083980703</v>
      </c>
      <c r="H43" s="118" t="str">
        <f>IF(AND($A43&gt;='Auswertung 2-Schicht'!I$3,$A43&lt;='Auswertung 2-Schicht'!I$4),Berechnung!K42,"")</f>
        <v/>
      </c>
      <c r="I43" s="132" t="str">
        <f>IF(AND($A43&gt;='Auswertung 2-Schicht'!J$3,$A43&lt;='Auswertung 2-Schicht'!J$4),Berechnung!L42,"")</f>
        <v/>
      </c>
      <c r="J43" s="118" t="str">
        <f>IF(AND($A43&gt;='Auswertung 2-Schicht'!K$3,$A43&lt;='Auswertung 2-Schicht'!K$4),Berechnung!P42,"")</f>
        <v/>
      </c>
      <c r="K43" s="134" t="str">
        <f>IF(AND($A43&gt;='Auswertung 2-Schicht'!L$3,$A43&lt;='Auswertung 2-Schicht'!L$4),Berechnung!Q42,"")</f>
        <v/>
      </c>
      <c r="L43" s="131">
        <f>IF('Auswertung 2-Schicht'!$H$8=1,Berechnung!I42,IF('Auswertung 2-Schicht'!$H$8=2,Berechnung!N42,Berechnung!S42))</f>
        <v>148.30036646878321</v>
      </c>
      <c r="M43" s="133">
        <f>IF('Auswertung 2-Schicht'!$H$8=1,Berechnung!J42,IF('Auswertung 2-Schicht'!$H$8=2,Berechnung!O42,Berechnung!T42))</f>
        <v>29.241441083980703</v>
      </c>
      <c r="N43" s="82">
        <f t="shared" si="34"/>
        <v>-999</v>
      </c>
      <c r="O43" s="42">
        <f t="shared" si="35"/>
        <v>-999</v>
      </c>
      <c r="P43" s="83">
        <f t="shared" si="36"/>
        <v>-999</v>
      </c>
      <c r="Q43" s="82">
        <f t="shared" si="37"/>
        <v>148.30036646878321</v>
      </c>
      <c r="R43" s="42">
        <f t="shared" si="38"/>
        <v>29.241441083980703</v>
      </c>
      <c r="S43" s="42">
        <f t="shared" si="39"/>
        <v>-999</v>
      </c>
      <c r="T43" s="42">
        <f t="shared" si="40"/>
        <v>-999</v>
      </c>
      <c r="U43" s="42">
        <f t="shared" si="41"/>
        <v>-999</v>
      </c>
      <c r="V43" s="109">
        <f t="shared" si="42"/>
        <v>-999</v>
      </c>
      <c r="W43" s="120" t="str">
        <f>IF(AND($A43&gt;='Auswertung 3-Schicht'!D$3,$A43&lt;='Auswertung 3-Schicht'!D$4),Berechnung!C42,"")</f>
        <v/>
      </c>
      <c r="X43" s="118" t="str">
        <f>IF(AND($A43&gt;='Auswertung 3-Schicht'!E$3,$A43&lt;='Auswertung 3-Schicht'!E$4),Berechnung!D42,"")</f>
        <v/>
      </c>
      <c r="Y43" s="118" t="str">
        <f>IF(AND($A43&gt;='Auswertung 3-Schicht'!F$3,$A43&lt;='Auswertung 3-Schicht'!F$4),Berechnung!E42,"")</f>
        <v/>
      </c>
      <c r="Z43" s="132" t="str">
        <f>IF(AND($A43&gt;='Auswertung 3-Schicht'!G$3,$A43&lt;='Auswertung 3-Schicht'!G$4),Berechnung!F42,"")</f>
        <v/>
      </c>
      <c r="AA43" s="118" t="str">
        <f>IF(AND($A43&gt;='Auswertung 3-Schicht'!H$3,$A43&lt;='Auswertung 3-Schicht'!H$4),Berechnung!K42,"")</f>
        <v/>
      </c>
      <c r="AB43" s="134" t="str">
        <f>IF(AND($A43&gt;='Auswertung 3-Schicht'!I$3,$A43&lt;='Auswertung 3-Schicht'!I$4),Berechnung!L42,"")</f>
        <v/>
      </c>
      <c r="AC43" s="118" t="str">
        <f>IF(AND($A43&gt;='Auswertung 3-Schicht'!J$3,$A43&lt;='Auswertung 3-Schicht'!J$4),Berechnung!P42,"")</f>
        <v/>
      </c>
      <c r="AD43" s="121" t="str">
        <f>IF(AND($A43&gt;='Auswertung 3-Schicht'!K$3,$A43&lt;='Auswertung 3-Schicht'!K$4),Berechnung!Q42,"")</f>
        <v/>
      </c>
      <c r="AE43" s="136" t="str">
        <f>IF(AND($A43&gt;='Auswertung 3-Schicht'!D$6,$A43&lt;='Auswertung 3-Schicht'!D$7),Berechnung!C42,"")</f>
        <v/>
      </c>
      <c r="AF43" s="118">
        <f>IF(AND($A43&gt;='Auswertung 3-Schicht'!E$6,$A43&lt;='Auswertung 3-Schicht'!E$7),Berechnung!D42,"")</f>
        <v>56.427025729417863</v>
      </c>
      <c r="AG43" s="118">
        <f>IF(AND($A43&gt;='Auswertung 3-Schicht'!F$6,$A43&lt;='Auswertung 3-Schicht'!F$7),Berechnung!E42,"")</f>
        <v>38.321588688040748</v>
      </c>
      <c r="AH43" s="118" t="str">
        <f>IF(AND($A43&gt;='Auswertung 3-Schicht'!G$6,$A43&lt;='Auswertung 3-Schicht'!G$7),Berechnung!F42,"")</f>
        <v/>
      </c>
      <c r="AI43" s="118" t="str">
        <f>IF(AND($A43&gt;='Auswertung 3-Schicht'!H$6,$A43&lt;='Auswertung 3-Schicht'!H$7),Berechnung!K42,"")</f>
        <v/>
      </c>
      <c r="AJ43" s="118" t="str">
        <f>IF(AND($A43&gt;='Auswertung 3-Schicht'!I$6,$A43&lt;='Auswertung 3-Schicht'!I$7),Berechnung!L42,"")</f>
        <v/>
      </c>
      <c r="AK43" s="118" t="str">
        <f>IF(AND($A43&gt;='Auswertung 3-Schicht'!J$6,$A43&lt;='Auswertung 3-Schicht'!J$7),Berechnung!P42,"")</f>
        <v/>
      </c>
      <c r="AL43" s="118" t="str">
        <f>IF(AND($A43&gt;='Auswertung 3-Schicht'!K$6,$A43&lt;='Auswertung 3-Schicht'!K$7),Berechnung!Q42,"")</f>
        <v/>
      </c>
      <c r="AM43" s="120" t="str">
        <f>IF(AND($A43&gt;='Auswertung 3-Schicht'!D$10,$A43&lt;='Auswertung 3-Schicht'!D$11),Berechnung!C42,"")</f>
        <v/>
      </c>
      <c r="AN43" s="118" t="str">
        <f>IF(AND($A43&gt;='Auswertung 3-Schicht'!E$10,$A43&lt;='Auswertung 3-Schicht'!E$11),Berechnung!D42,"")</f>
        <v/>
      </c>
      <c r="AO43" s="118" t="str">
        <f>IF(AND($A43&gt;='Auswertung 3-Schicht'!F$10,$A43&lt;='Auswertung 3-Schicht'!F$11),Berechnung!E42,"")</f>
        <v/>
      </c>
      <c r="AP43" s="118">
        <f>IF(AND($A43&gt;='Auswertung 3-Schicht'!G$10,$A43&lt;='Auswertung 3-Schicht'!G$11),Berechnung!F42,"")</f>
        <v>92.124418379511695</v>
      </c>
      <c r="AQ43" s="118" t="str">
        <f>IF(AND($A43&gt;='Auswertung 3-Schicht'!H$10,$A43&lt;='Auswertung 3-Schicht'!H$11),Berechnung!K42,"")</f>
        <v/>
      </c>
      <c r="AR43" s="118" t="str">
        <f>IF(AND($A43&gt;='Auswertung 3-Schicht'!I$10,$A43&lt;='Auswertung 3-Schicht'!I$11),Berechnung!L42,"")</f>
        <v/>
      </c>
      <c r="AS43" s="118" t="str">
        <f>IF(AND($A43&gt;='Auswertung 3-Schicht'!J$10,$A43&lt;='Auswertung 3-Schicht'!J$11),Berechnung!P42,"")</f>
        <v/>
      </c>
      <c r="AT43" s="118" t="str">
        <f>IF(AND($A43&gt;='Auswertung 3-Schicht'!K$10,$A43&lt;='Auswertung 3-Schicht'!K$11),Berechnung!Q42,"")</f>
        <v/>
      </c>
      <c r="AU43" s="82">
        <f t="shared" si="11"/>
        <v>-999</v>
      </c>
      <c r="AV43" s="42">
        <f t="shared" si="12"/>
        <v>-999</v>
      </c>
      <c r="AW43" s="79">
        <f t="shared" si="13"/>
        <v>-999</v>
      </c>
      <c r="AX43" s="79">
        <f t="shared" si="14"/>
        <v>-999</v>
      </c>
      <c r="AY43" s="79">
        <f t="shared" si="15"/>
        <v>-999</v>
      </c>
      <c r="AZ43" s="42">
        <f t="shared" si="16"/>
        <v>-999</v>
      </c>
      <c r="BA43" s="83">
        <f t="shared" si="17"/>
        <v>-999</v>
      </c>
      <c r="BB43" s="80">
        <f t="shared" si="18"/>
        <v>56.427025729417863</v>
      </c>
      <c r="BC43" s="42">
        <f t="shared" si="19"/>
        <v>38.321588688040748</v>
      </c>
      <c r="BD43" s="42">
        <f t="shared" si="20"/>
        <v>-999</v>
      </c>
      <c r="BE43" s="42">
        <f t="shared" si="21"/>
        <v>-999</v>
      </c>
      <c r="BF43" s="42">
        <f t="shared" si="22"/>
        <v>-999</v>
      </c>
      <c r="BG43" s="42">
        <f t="shared" si="23"/>
        <v>-999</v>
      </c>
      <c r="BH43" s="83">
        <f t="shared" si="24"/>
        <v>-999</v>
      </c>
      <c r="BI43" s="82">
        <f t="shared" si="25"/>
        <v>-999</v>
      </c>
      <c r="BJ43" s="42">
        <f t="shared" si="26"/>
        <v>-999</v>
      </c>
      <c r="BK43" s="42">
        <f t="shared" si="27"/>
        <v>92.124418379511695</v>
      </c>
      <c r="BL43" s="42">
        <f t="shared" si="28"/>
        <v>-999</v>
      </c>
      <c r="BM43" s="42">
        <f t="shared" si="29"/>
        <v>-999</v>
      </c>
      <c r="BN43" s="42">
        <f t="shared" si="30"/>
        <v>-999</v>
      </c>
      <c r="BO43" s="83">
        <f t="shared" si="31"/>
        <v>-999</v>
      </c>
      <c r="BP43" s="80">
        <f>IF('Auswertung 2-Schicht'!O$4="",-999,MIN(1000*SQRT((A43+1)^2+AVERAGE(T0_Korrektur!D$1,T0_Korrektur!F$1,T0_Korrektur!H$1)^2)/'Auswertung 2-Schicht'!$O$4,'Auswertung 2-Schicht'!$O$8+1000*SQRT((A43+1)^2+AVERAGE(T0_Korrektur!D$1,T0_Korrektur!F$1,T0_Korrektur!H$1)^2)/'Auswertung 2-Schicht'!$O$7))</f>
        <v>100.98394330250682</v>
      </c>
      <c r="BQ43" s="83">
        <f>IF('Auswertung 3-Schicht'!N$4="",-999,IF('Auswertung 3-Schicht'!N$8="",MIN(1000*SQRT((A43+1)^2+AVERAGE(T0_Korrektur!D$1,T0_Korrektur!F$1,T0_Korrektur!H$1)^2)/'Auswertung 3-Schicht'!N$4,'Auswertung 3-Schicht'!N$6+1000*SQRT((A43+1)^2+AVERAGE(T0_Korrektur!D$1,T0_Korrektur!F$1,T0_Korrektur!H$1)^2)/'Auswertung 3-Schicht'!N$5),MIN(1000*SQRT((A43+1)^2+AVERAGE(T0_Korrektur!D$1,T0_Korrektur!F$1,T0_Korrektur!H$1)^2)/'Auswertung 3-Schicht'!N$4,'Auswertung 3-Schicht'!N$6+1000*SQRT((A43+1)^2+AVERAGE(T0_Korrektur!D$1,T0_Korrektur!F$1,T0_Korrektur!H$1)^2)/'Auswertung 3-Schicht'!N$5,'Auswertung 3-Schicht'!N$9+1000*SQRT((A43+1)^2+AVERAGE(T0_Korrektur!D$1,T0_Korrektur!F$1,T0_Korrektur!H$1)^2)/'Auswertung 3-Schicht'!N$8)))</f>
        <v>91.403662211639841</v>
      </c>
      <c r="BR43" s="82">
        <f>ABS(T0_Korrektur!C42)</f>
        <v>66.271807731493183</v>
      </c>
      <c r="BS43" s="42">
        <f>ABS(T0_Korrektur!E42)</f>
        <v>32.539360780445577</v>
      </c>
      <c r="BT43" s="42">
        <f>ABS(T0_Korrektur!I42)</f>
        <v>999</v>
      </c>
      <c r="BU43" s="79">
        <f>ABS(T0_Korrektur!M42)</f>
        <v>999</v>
      </c>
      <c r="BV43" s="120">
        <f>IF(T0_Korrektur!H42="","",T0_Korrektur!H42-Hilfsdaten!BP43)</f>
        <v>-8.8540433025068097</v>
      </c>
      <c r="BW43" s="118"/>
      <c r="BX43" s="118"/>
      <c r="BY43" s="118">
        <f>IF(T0_Korrektur!F17="","",T0_Korrektur!F17-Hilfsdaten!BP43)</f>
        <v>-17.643943302506813</v>
      </c>
      <c r="BZ43" s="120">
        <f>IF(T0_Korrektur!H42="","",T0_Korrektur!H42-Hilfsdaten!BQ43)</f>
        <v>0.72623778836016584</v>
      </c>
      <c r="CA43" s="118"/>
      <c r="CB43" s="118"/>
      <c r="CC43" s="121">
        <f>IF(T0_Korrektur!F17="","",T0_Korrektur!F17-Hilfsdaten!BQ43)</f>
        <v>-8.0636622116398371</v>
      </c>
    </row>
    <row r="44" spans="1:81" x14ac:dyDescent="0.2">
      <c r="A44" s="130">
        <f>'Picks importieren'!B44</f>
        <v>167.5</v>
      </c>
      <c r="B44" s="120" t="str">
        <f>IF(AND($A44&gt;='Auswertung 2-Schicht'!C$3,$A44&lt;='Auswertung 2-Schicht'!C$4),Berechnung!C43,"")</f>
        <v/>
      </c>
      <c r="C44" s="118" t="str">
        <f>IF(AND($A44&gt;='Auswertung 2-Schicht'!D$3,$A44&lt;='Auswertung 2-Schicht'!D$4),Berechnung!D43,"")</f>
        <v/>
      </c>
      <c r="D44" s="118" t="str">
        <f>IF(AND($A44&gt;='Auswertung 2-Schicht'!E$3,$A44&lt;='Auswertung 2-Schicht'!E$4),Berechnung!G43,"")</f>
        <v/>
      </c>
      <c r="E44" s="121" t="str">
        <f>IF(AND($A44&gt;='Auswertung 2-Schicht'!F$3,$A44&lt;='Auswertung 2-Schicht'!F$4),Berechnung!F43,"")</f>
        <v/>
      </c>
      <c r="F44" s="131">
        <f>IF(AND($A44&gt;='Auswertung 2-Schicht'!H$3,$A44&lt;='Auswertung 2-Schicht'!H$4),IF('Auswertung 2-Schicht'!$H$8=1,Berechnung!I43,IF('Auswertung 2-Schicht'!$H$8=2,Berechnung!N43,Berechnung!S43)),"")</f>
        <v>151.85847981711805</v>
      </c>
      <c r="G44" s="118">
        <f>IF(AND($A44&gt;='Auswertung 2-Schicht'!H$3,$A44&lt;='Auswertung 2-Schicht'!H$4),IF('Auswertung 2-Schicht'!$H$8=1,Berechnung!J43,IF('Auswertung 2-Schicht'!$H$8=2,Berechnung!O43,Berechnung!T43)),"")</f>
        <v>28.273217957425203</v>
      </c>
      <c r="H44" s="118" t="str">
        <f>IF(AND($A44&gt;='Auswertung 2-Schicht'!I$3,$A44&lt;='Auswertung 2-Schicht'!I$4),Berechnung!K43,"")</f>
        <v/>
      </c>
      <c r="I44" s="132" t="str">
        <f>IF(AND($A44&gt;='Auswertung 2-Schicht'!J$3,$A44&lt;='Auswertung 2-Schicht'!J$4),Berechnung!L43,"")</f>
        <v/>
      </c>
      <c r="J44" s="118" t="str">
        <f>IF(AND($A44&gt;='Auswertung 2-Schicht'!K$3,$A44&lt;='Auswertung 2-Schicht'!K$4),Berechnung!P43,"")</f>
        <v/>
      </c>
      <c r="K44" s="134" t="str">
        <f>IF(AND($A44&gt;='Auswertung 2-Schicht'!L$3,$A44&lt;='Auswertung 2-Schicht'!L$4),Berechnung!Q43,"")</f>
        <v/>
      </c>
      <c r="L44" s="131">
        <f>IF('Auswertung 2-Schicht'!$H$8=1,Berechnung!I43,IF('Auswertung 2-Schicht'!$H$8=2,Berechnung!N43,Berechnung!S43))</f>
        <v>151.85847981711805</v>
      </c>
      <c r="M44" s="133">
        <f>IF('Auswertung 2-Schicht'!$H$8=1,Berechnung!J43,IF('Auswertung 2-Schicht'!$H$8=2,Berechnung!O43,Berechnung!T43))</f>
        <v>28.273217957425203</v>
      </c>
      <c r="N44" s="82">
        <f t="shared" si="34"/>
        <v>-999</v>
      </c>
      <c r="O44" s="42">
        <f t="shared" si="35"/>
        <v>-999</v>
      </c>
      <c r="P44" s="83">
        <f t="shared" si="36"/>
        <v>-999</v>
      </c>
      <c r="Q44" s="82">
        <f t="shared" si="37"/>
        <v>151.85847981711805</v>
      </c>
      <c r="R44" s="42">
        <f t="shared" si="38"/>
        <v>28.273217957425203</v>
      </c>
      <c r="S44" s="42">
        <f t="shared" si="39"/>
        <v>-999</v>
      </c>
      <c r="T44" s="42">
        <f t="shared" si="40"/>
        <v>-999</v>
      </c>
      <c r="U44" s="42">
        <f t="shared" si="41"/>
        <v>-999</v>
      </c>
      <c r="V44" s="109">
        <f t="shared" si="42"/>
        <v>-999</v>
      </c>
      <c r="W44" s="120" t="str">
        <f>IF(AND($A44&gt;='Auswertung 3-Schicht'!D$3,$A44&lt;='Auswertung 3-Schicht'!D$4),Berechnung!C43,"")</f>
        <v/>
      </c>
      <c r="X44" s="118" t="str">
        <f>IF(AND($A44&gt;='Auswertung 3-Schicht'!E$3,$A44&lt;='Auswertung 3-Schicht'!E$4),Berechnung!D43,"")</f>
        <v/>
      </c>
      <c r="Y44" s="118" t="str">
        <f>IF(AND($A44&gt;='Auswertung 3-Schicht'!F$3,$A44&lt;='Auswertung 3-Schicht'!F$4),Berechnung!E43,"")</f>
        <v/>
      </c>
      <c r="Z44" s="132" t="str">
        <f>IF(AND($A44&gt;='Auswertung 3-Schicht'!G$3,$A44&lt;='Auswertung 3-Schicht'!G$4),Berechnung!F43,"")</f>
        <v/>
      </c>
      <c r="AA44" s="118" t="str">
        <f>IF(AND($A44&gt;='Auswertung 3-Schicht'!H$3,$A44&lt;='Auswertung 3-Schicht'!H$4),Berechnung!K43,"")</f>
        <v/>
      </c>
      <c r="AB44" s="134" t="str">
        <f>IF(AND($A44&gt;='Auswertung 3-Schicht'!I$3,$A44&lt;='Auswertung 3-Schicht'!I$4),Berechnung!L43,"")</f>
        <v/>
      </c>
      <c r="AC44" s="118" t="str">
        <f>IF(AND($A44&gt;='Auswertung 3-Schicht'!J$3,$A44&lt;='Auswertung 3-Schicht'!J$4),Berechnung!P43,"")</f>
        <v/>
      </c>
      <c r="AD44" s="121" t="str">
        <f>IF(AND($A44&gt;='Auswertung 3-Schicht'!K$3,$A44&lt;='Auswertung 3-Schicht'!K$4),Berechnung!Q43,"")</f>
        <v/>
      </c>
      <c r="AE44" s="136" t="str">
        <f>IF(AND($A44&gt;='Auswertung 3-Schicht'!D$6,$A44&lt;='Auswertung 3-Schicht'!D$7),Berechnung!C43,"")</f>
        <v/>
      </c>
      <c r="AF44" s="118">
        <f>IF(AND($A44&gt;='Auswertung 3-Schicht'!E$6,$A44&lt;='Auswertung 3-Schicht'!E$7),Berechnung!D43,"")</f>
        <v>60.183171813374464</v>
      </c>
      <c r="AG44" s="118">
        <f>IF(AND($A44&gt;='Auswertung 3-Schicht'!F$6,$A44&lt;='Auswertung 3-Schicht'!F$7),Berechnung!E43,"")</f>
        <v>36.058420450595584</v>
      </c>
      <c r="AH44" s="118" t="str">
        <f>IF(AND($A44&gt;='Auswertung 3-Schicht'!G$6,$A44&lt;='Auswertung 3-Schicht'!G$7),Berechnung!F43,"")</f>
        <v/>
      </c>
      <c r="AI44" s="118" t="str">
        <f>IF(AND($A44&gt;='Auswertung 3-Schicht'!H$6,$A44&lt;='Auswertung 3-Schicht'!H$7),Berechnung!K43,"")</f>
        <v/>
      </c>
      <c r="AJ44" s="118" t="str">
        <f>IF(AND($A44&gt;='Auswertung 3-Schicht'!I$6,$A44&lt;='Auswertung 3-Schicht'!I$7),Berechnung!L43,"")</f>
        <v/>
      </c>
      <c r="AK44" s="118" t="str">
        <f>IF(AND($A44&gt;='Auswertung 3-Schicht'!J$6,$A44&lt;='Auswertung 3-Schicht'!J$7),Berechnung!P43,"")</f>
        <v/>
      </c>
      <c r="AL44" s="118" t="str">
        <f>IF(AND($A44&gt;='Auswertung 3-Schicht'!K$6,$A44&lt;='Auswertung 3-Schicht'!K$7),Berechnung!Q43,"")</f>
        <v/>
      </c>
      <c r="AM44" s="120" t="str">
        <f>IF(AND($A44&gt;='Auswertung 3-Schicht'!D$10,$A44&lt;='Auswertung 3-Schicht'!D$11),Berechnung!C43,"")</f>
        <v/>
      </c>
      <c r="AN44" s="118" t="str">
        <f>IF(AND($A44&gt;='Auswertung 3-Schicht'!E$10,$A44&lt;='Auswertung 3-Schicht'!E$11),Berechnung!D43,"")</f>
        <v/>
      </c>
      <c r="AO44" s="118" t="str">
        <f>IF(AND($A44&gt;='Auswertung 3-Schicht'!F$10,$A44&lt;='Auswertung 3-Schicht'!F$11),Berechnung!E43,"")</f>
        <v/>
      </c>
      <c r="AP44" s="118">
        <f>IF(AND($A44&gt;='Auswertung 3-Schicht'!G$10,$A44&lt;='Auswertung 3-Schicht'!G$11),Berechnung!F43,"")</f>
        <v>93.419363490401366</v>
      </c>
      <c r="AQ44" s="118" t="str">
        <f>IF(AND($A44&gt;='Auswertung 3-Schicht'!H$10,$A44&lt;='Auswertung 3-Schicht'!H$11),Berechnung!K43,"")</f>
        <v/>
      </c>
      <c r="AR44" s="118" t="str">
        <f>IF(AND($A44&gt;='Auswertung 3-Schicht'!I$10,$A44&lt;='Auswertung 3-Schicht'!I$11),Berechnung!L43,"")</f>
        <v/>
      </c>
      <c r="AS44" s="118" t="str">
        <f>IF(AND($A44&gt;='Auswertung 3-Schicht'!J$10,$A44&lt;='Auswertung 3-Schicht'!J$11),Berechnung!P43,"")</f>
        <v/>
      </c>
      <c r="AT44" s="118" t="str">
        <f>IF(AND($A44&gt;='Auswertung 3-Schicht'!K$10,$A44&lt;='Auswertung 3-Schicht'!K$11),Berechnung!Q43,"")</f>
        <v/>
      </c>
      <c r="AU44" s="82">
        <f t="shared" si="11"/>
        <v>-999</v>
      </c>
      <c r="AV44" s="42">
        <f t="shared" si="12"/>
        <v>-999</v>
      </c>
      <c r="AW44" s="79">
        <f t="shared" si="13"/>
        <v>-999</v>
      </c>
      <c r="AX44" s="79">
        <f t="shared" si="14"/>
        <v>-999</v>
      </c>
      <c r="AY44" s="79">
        <f t="shared" si="15"/>
        <v>-999</v>
      </c>
      <c r="AZ44" s="42">
        <f t="shared" si="16"/>
        <v>-999</v>
      </c>
      <c r="BA44" s="83">
        <f t="shared" si="17"/>
        <v>-999</v>
      </c>
      <c r="BB44" s="80">
        <f t="shared" si="18"/>
        <v>60.183171813374464</v>
      </c>
      <c r="BC44" s="42">
        <f t="shared" si="19"/>
        <v>36.058420450595584</v>
      </c>
      <c r="BD44" s="42">
        <f t="shared" si="20"/>
        <v>-999</v>
      </c>
      <c r="BE44" s="42">
        <f t="shared" si="21"/>
        <v>-999</v>
      </c>
      <c r="BF44" s="42">
        <f t="shared" si="22"/>
        <v>-999</v>
      </c>
      <c r="BG44" s="42">
        <f t="shared" si="23"/>
        <v>-999</v>
      </c>
      <c r="BH44" s="83">
        <f t="shared" si="24"/>
        <v>-999</v>
      </c>
      <c r="BI44" s="82">
        <f t="shared" si="25"/>
        <v>-999</v>
      </c>
      <c r="BJ44" s="42">
        <f t="shared" si="26"/>
        <v>-999</v>
      </c>
      <c r="BK44" s="42">
        <f t="shared" si="27"/>
        <v>93.419363490401366</v>
      </c>
      <c r="BL44" s="42">
        <f t="shared" si="28"/>
        <v>-999</v>
      </c>
      <c r="BM44" s="42">
        <f t="shared" si="29"/>
        <v>-999</v>
      </c>
      <c r="BN44" s="42">
        <f t="shared" si="30"/>
        <v>-999</v>
      </c>
      <c r="BO44" s="83">
        <f t="shared" si="31"/>
        <v>-999</v>
      </c>
      <c r="BP44" s="80">
        <f>IF('Auswertung 2-Schicht'!O$4="",-999,MIN(1000*SQRT((A44+1)^2+AVERAGE(T0_Korrektur!D$1,T0_Korrektur!F$1,T0_Korrektur!H$1)^2)/'Auswertung 2-Schicht'!$O$4,'Auswertung 2-Schicht'!$O$8+1000*SQRT((A44+1)^2+AVERAGE(T0_Korrektur!D$1,T0_Korrektur!F$1,T0_Korrektur!H$1)^2)/'Auswertung 2-Schicht'!$O$7))</f>
        <v>102.93690644261343</v>
      </c>
      <c r="BQ44" s="83">
        <f>IF('Auswertung 3-Schicht'!N$4="",-999,IF('Auswertung 3-Schicht'!N$8="",MIN(1000*SQRT((A44+1)^2+AVERAGE(T0_Korrektur!D$1,T0_Korrektur!F$1,T0_Korrektur!H$1)^2)/'Auswertung 3-Schicht'!N$4,'Auswertung 3-Schicht'!N$6+1000*SQRT((A44+1)^2+AVERAGE(T0_Korrektur!D$1,T0_Korrektur!F$1,T0_Korrektur!H$1)^2)/'Auswertung 3-Schicht'!N$5),MIN(1000*SQRT((A44+1)^2+AVERAGE(T0_Korrektur!D$1,T0_Korrektur!F$1,T0_Korrektur!H$1)^2)/'Auswertung 3-Schicht'!N$4,'Auswertung 3-Schicht'!N$6+1000*SQRT((A44+1)^2+AVERAGE(T0_Korrektur!D$1,T0_Korrektur!F$1,T0_Korrektur!H$1)^2)/'Auswertung 3-Schicht'!N$5,'Auswertung 3-Schicht'!N$9+1000*SQRT((A44+1)^2+AVERAGE(T0_Korrektur!D$1,T0_Korrektur!F$1,T0_Korrektur!H$1)^2)/'Auswertung 3-Schicht'!N$8)))</f>
        <v>92.933571016661205</v>
      </c>
      <c r="BR44" s="82">
        <f>ABS(T0_Korrektur!C43)</f>
        <v>71.270277816211717</v>
      </c>
      <c r="BS44" s="42">
        <f>ABS(T0_Korrektur!E43)</f>
        <v>27.546506130542216</v>
      </c>
      <c r="BT44" s="42">
        <f>ABS(T0_Korrektur!I43)</f>
        <v>999</v>
      </c>
      <c r="BU44" s="79">
        <f>ABS(T0_Korrektur!M43)</f>
        <v>999</v>
      </c>
      <c r="BV44" s="120">
        <f>IF(T0_Korrektur!H43="","",T0_Korrektur!H43-Hilfsdaten!BP44)</f>
        <v>-9.5123064426134363</v>
      </c>
      <c r="BW44" s="118"/>
      <c r="BX44" s="118"/>
      <c r="BY44" s="118">
        <f>IF(T0_Korrektur!F16="","",T0_Korrektur!F16-Hilfsdaten!BP44)</f>
        <v>-18.166006442613437</v>
      </c>
      <c r="BZ44" s="120">
        <f>IF(T0_Korrektur!H43="","",T0_Korrektur!H43-Hilfsdaten!BQ44)</f>
        <v>0.49102898333879352</v>
      </c>
      <c r="CA44" s="118"/>
      <c r="CB44" s="118"/>
      <c r="CC44" s="121">
        <f>IF(T0_Korrektur!F16="","",T0_Korrektur!F16-Hilfsdaten!BQ44)</f>
        <v>-8.1626710166612071</v>
      </c>
    </row>
    <row r="45" spans="1:81" x14ac:dyDescent="0.2">
      <c r="A45" s="130">
        <f>'Picks importieren'!B45</f>
        <v>172.5</v>
      </c>
      <c r="B45" s="120" t="str">
        <f>IF(AND($A45&gt;='Auswertung 2-Schicht'!C$3,$A45&lt;='Auswertung 2-Schicht'!C$4),Berechnung!C44,"")</f>
        <v/>
      </c>
      <c r="C45" s="118" t="str">
        <f>IF(AND($A45&gt;='Auswertung 2-Schicht'!D$3,$A45&lt;='Auswertung 2-Schicht'!D$4),Berechnung!D44,"")</f>
        <v/>
      </c>
      <c r="D45" s="118" t="str">
        <f>IF(AND($A45&gt;='Auswertung 2-Schicht'!E$3,$A45&lt;='Auswertung 2-Schicht'!E$4),Berechnung!G44,"")</f>
        <v/>
      </c>
      <c r="E45" s="121" t="str">
        <f>IF(AND($A45&gt;='Auswertung 2-Schicht'!F$3,$A45&lt;='Auswertung 2-Schicht'!F$4),Berechnung!F44,"")</f>
        <v/>
      </c>
      <c r="F45" s="131">
        <f>IF(AND($A45&gt;='Auswertung 2-Schicht'!H$3,$A45&lt;='Auswertung 2-Schicht'!H$4),IF('Auswertung 2-Schicht'!$H$8=1,Berechnung!I44,IF('Auswertung 2-Schicht'!$H$8=2,Berechnung!N44,Berechnung!S44)),"")</f>
        <v>154.8812708827293</v>
      </c>
      <c r="G45" s="118">
        <f>IF(AND($A45&gt;='Auswertung 2-Schicht'!H$3,$A45&lt;='Auswertung 2-Schicht'!H$4),IF('Auswertung 2-Schicht'!$H$8=1,Berechnung!J44,IF('Auswertung 2-Schicht'!$H$8=2,Berechnung!O44,Berechnung!T44)),"")</f>
        <v>26.750137455519081</v>
      </c>
      <c r="H45" s="118" t="str">
        <f>IF(AND($A45&gt;='Auswertung 2-Schicht'!I$3,$A45&lt;='Auswertung 2-Schicht'!I$4),Berechnung!K44,"")</f>
        <v/>
      </c>
      <c r="I45" s="132" t="str">
        <f>IF(AND($A45&gt;='Auswertung 2-Schicht'!J$3,$A45&lt;='Auswertung 2-Schicht'!J$4),Berechnung!L44,"")</f>
        <v/>
      </c>
      <c r="J45" s="118" t="str">
        <f>IF(AND($A45&gt;='Auswertung 2-Schicht'!K$3,$A45&lt;='Auswertung 2-Schicht'!K$4),Berechnung!P44,"")</f>
        <v/>
      </c>
      <c r="K45" s="134" t="str">
        <f>IF(AND($A45&gt;='Auswertung 2-Schicht'!L$3,$A45&lt;='Auswertung 2-Schicht'!L$4),Berechnung!Q44,"")</f>
        <v/>
      </c>
      <c r="L45" s="131">
        <f>IF('Auswertung 2-Schicht'!$H$8=1,Berechnung!I44,IF('Auswertung 2-Schicht'!$H$8=2,Berechnung!N44,Berechnung!S44))</f>
        <v>154.8812708827293</v>
      </c>
      <c r="M45" s="133">
        <f>IF('Auswertung 2-Schicht'!$H$8=1,Berechnung!J44,IF('Auswertung 2-Schicht'!$H$8=2,Berechnung!O44,Berechnung!T44))</f>
        <v>26.750137455519081</v>
      </c>
      <c r="N45" s="82">
        <f t="shared" si="34"/>
        <v>-999</v>
      </c>
      <c r="O45" s="42">
        <f t="shared" si="35"/>
        <v>-999</v>
      </c>
      <c r="P45" s="83">
        <f t="shared" si="36"/>
        <v>-999</v>
      </c>
      <c r="Q45" s="82">
        <f t="shared" si="37"/>
        <v>154.8812708827293</v>
      </c>
      <c r="R45" s="42">
        <f t="shared" si="38"/>
        <v>26.750137455519081</v>
      </c>
      <c r="S45" s="42">
        <f t="shared" si="39"/>
        <v>-999</v>
      </c>
      <c r="T45" s="42">
        <f t="shared" si="40"/>
        <v>-999</v>
      </c>
      <c r="U45" s="42">
        <f t="shared" si="41"/>
        <v>-999</v>
      </c>
      <c r="V45" s="109">
        <f t="shared" si="42"/>
        <v>-999</v>
      </c>
      <c r="W45" s="120" t="str">
        <f>IF(AND($A45&gt;='Auswertung 3-Schicht'!D$3,$A45&lt;='Auswertung 3-Schicht'!D$4),Berechnung!C44,"")</f>
        <v/>
      </c>
      <c r="X45" s="118" t="str">
        <f>IF(AND($A45&gt;='Auswertung 3-Schicht'!E$3,$A45&lt;='Auswertung 3-Schicht'!E$4),Berechnung!D44,"")</f>
        <v/>
      </c>
      <c r="Y45" s="118" t="str">
        <f>IF(AND($A45&gt;='Auswertung 3-Schicht'!F$3,$A45&lt;='Auswertung 3-Schicht'!F$4),Berechnung!E44,"")</f>
        <v/>
      </c>
      <c r="Z45" s="132" t="str">
        <f>IF(AND($A45&gt;='Auswertung 3-Schicht'!G$3,$A45&lt;='Auswertung 3-Schicht'!G$4),Berechnung!F44,"")</f>
        <v/>
      </c>
      <c r="AA45" s="118" t="str">
        <f>IF(AND($A45&gt;='Auswertung 3-Schicht'!H$3,$A45&lt;='Auswertung 3-Schicht'!H$4),Berechnung!K44,"")</f>
        <v/>
      </c>
      <c r="AB45" s="134" t="str">
        <f>IF(AND($A45&gt;='Auswertung 3-Schicht'!I$3,$A45&lt;='Auswertung 3-Schicht'!I$4),Berechnung!L44,"")</f>
        <v/>
      </c>
      <c r="AC45" s="118" t="str">
        <f>IF(AND($A45&gt;='Auswertung 3-Schicht'!J$3,$A45&lt;='Auswertung 3-Schicht'!J$4),Berechnung!P44,"")</f>
        <v/>
      </c>
      <c r="AD45" s="121" t="str">
        <f>IF(AND($A45&gt;='Auswertung 3-Schicht'!K$3,$A45&lt;='Auswertung 3-Schicht'!K$4),Berechnung!Q44,"")</f>
        <v/>
      </c>
      <c r="AE45" s="136" t="str">
        <f>IF(AND($A45&gt;='Auswertung 3-Schicht'!D$6,$A45&lt;='Auswertung 3-Schicht'!D$7),Berechnung!C44,"")</f>
        <v/>
      </c>
      <c r="AF45" s="118">
        <f>IF(AND($A45&gt;='Auswertung 3-Schicht'!E$6,$A45&lt;='Auswertung 3-Schicht'!E$7),Berechnung!D44,"")</f>
        <v>62.71911402026759</v>
      </c>
      <c r="AG45" s="118">
        <f>IF(AND($A45&gt;='Auswertung 3-Schicht'!F$6,$A45&lt;='Auswertung 3-Schicht'!F$7),Berechnung!E44,"")</f>
        <v>33.785484666836894</v>
      </c>
      <c r="AH45" s="118" t="str">
        <f>IF(AND($A45&gt;='Auswertung 3-Schicht'!G$6,$A45&lt;='Auswertung 3-Schicht'!G$7),Berechnung!F44,"")</f>
        <v/>
      </c>
      <c r="AI45" s="118" t="str">
        <f>IF(AND($A45&gt;='Auswertung 3-Schicht'!H$6,$A45&lt;='Auswertung 3-Schicht'!H$7),Berechnung!K44,"")</f>
        <v/>
      </c>
      <c r="AJ45" s="118" t="str">
        <f>IF(AND($A45&gt;='Auswertung 3-Schicht'!I$6,$A45&lt;='Auswertung 3-Schicht'!I$7),Berechnung!L44,"")</f>
        <v/>
      </c>
      <c r="AK45" s="118" t="str">
        <f>IF(AND($A45&gt;='Auswertung 3-Schicht'!J$6,$A45&lt;='Auswertung 3-Schicht'!J$7),Berechnung!P44,"")</f>
        <v/>
      </c>
      <c r="AL45" s="118" t="str">
        <f>IF(AND($A45&gt;='Auswertung 3-Schicht'!K$6,$A45&lt;='Auswertung 3-Schicht'!K$7),Berechnung!Q44,"")</f>
        <v/>
      </c>
      <c r="AM45" s="120" t="str">
        <f>IF(AND($A45&gt;='Auswertung 3-Schicht'!D$10,$A45&lt;='Auswertung 3-Schicht'!D$11),Berechnung!C44,"")</f>
        <v/>
      </c>
      <c r="AN45" s="118" t="str">
        <f>IF(AND($A45&gt;='Auswertung 3-Schicht'!E$10,$A45&lt;='Auswertung 3-Schicht'!E$11),Berechnung!D44,"")</f>
        <v/>
      </c>
      <c r="AO45" s="118" t="str">
        <f>IF(AND($A45&gt;='Auswertung 3-Schicht'!F$10,$A45&lt;='Auswertung 3-Schicht'!F$11),Berechnung!E44,"")</f>
        <v/>
      </c>
      <c r="AP45" s="118">
        <f>IF(AND($A45&gt;='Auswertung 3-Schicht'!G$10,$A45&lt;='Auswertung 3-Schicht'!G$11),Berechnung!F44,"")</f>
        <v>94.169218772253927</v>
      </c>
      <c r="AQ45" s="118" t="str">
        <f>IF(AND($A45&gt;='Auswertung 3-Schicht'!H$10,$A45&lt;='Auswertung 3-Schicht'!H$11),Berechnung!K44,"")</f>
        <v/>
      </c>
      <c r="AR45" s="118" t="str">
        <f>IF(AND($A45&gt;='Auswertung 3-Schicht'!I$10,$A45&lt;='Auswertung 3-Schicht'!I$11),Berechnung!L44,"")</f>
        <v/>
      </c>
      <c r="AS45" s="118" t="str">
        <f>IF(AND($A45&gt;='Auswertung 3-Schicht'!J$10,$A45&lt;='Auswertung 3-Schicht'!J$11),Berechnung!P44,"")</f>
        <v/>
      </c>
      <c r="AT45" s="118" t="str">
        <f>IF(AND($A45&gt;='Auswertung 3-Schicht'!K$10,$A45&lt;='Auswertung 3-Schicht'!K$11),Berechnung!Q44,"")</f>
        <v/>
      </c>
      <c r="AU45" s="82">
        <f t="shared" si="11"/>
        <v>-999</v>
      </c>
      <c r="AV45" s="42">
        <f t="shared" si="12"/>
        <v>-999</v>
      </c>
      <c r="AW45" s="79">
        <f t="shared" si="13"/>
        <v>-999</v>
      </c>
      <c r="AX45" s="79">
        <f t="shared" si="14"/>
        <v>-999</v>
      </c>
      <c r="AY45" s="79">
        <f t="shared" si="15"/>
        <v>-999</v>
      </c>
      <c r="AZ45" s="42">
        <f t="shared" si="16"/>
        <v>-999</v>
      </c>
      <c r="BA45" s="83">
        <f t="shared" si="17"/>
        <v>-999</v>
      </c>
      <c r="BB45" s="80">
        <f t="shared" si="18"/>
        <v>62.71911402026759</v>
      </c>
      <c r="BC45" s="42">
        <f t="shared" si="19"/>
        <v>33.785484666836894</v>
      </c>
      <c r="BD45" s="42">
        <f t="shared" si="20"/>
        <v>-999</v>
      </c>
      <c r="BE45" s="42">
        <f t="shared" si="21"/>
        <v>-999</v>
      </c>
      <c r="BF45" s="42">
        <f t="shared" si="22"/>
        <v>-999</v>
      </c>
      <c r="BG45" s="42">
        <f t="shared" si="23"/>
        <v>-999</v>
      </c>
      <c r="BH45" s="83">
        <f t="shared" si="24"/>
        <v>-999</v>
      </c>
      <c r="BI45" s="82">
        <f t="shared" si="25"/>
        <v>-999</v>
      </c>
      <c r="BJ45" s="42">
        <f t="shared" si="26"/>
        <v>-999</v>
      </c>
      <c r="BK45" s="42">
        <f t="shared" si="27"/>
        <v>94.169218772253927</v>
      </c>
      <c r="BL45" s="42">
        <f t="shared" si="28"/>
        <v>-999</v>
      </c>
      <c r="BM45" s="42">
        <f t="shared" si="29"/>
        <v>-999</v>
      </c>
      <c r="BN45" s="42">
        <f t="shared" si="30"/>
        <v>-999</v>
      </c>
      <c r="BO45" s="83">
        <f t="shared" si="31"/>
        <v>-999</v>
      </c>
      <c r="BP45" s="80">
        <f>IF('Auswertung 2-Schicht'!O$4="",-999,MIN(1000*SQRT((A45+1)^2+AVERAGE(T0_Korrektur!D$1,T0_Korrektur!F$1,T0_Korrektur!H$1)^2)/'Auswertung 2-Schicht'!$O$4,'Auswertung 2-Schicht'!$O$8+1000*SQRT((A45+1)^2+AVERAGE(T0_Korrektur!D$1,T0_Korrektur!F$1,T0_Korrektur!H$1)^2)/'Auswertung 2-Schicht'!$O$7))</f>
        <v>104.88987548610544</v>
      </c>
      <c r="BQ45" s="83">
        <f>IF('Auswertung 3-Schicht'!N$4="",-999,IF('Auswertung 3-Schicht'!N$8="",MIN(1000*SQRT((A45+1)^2+AVERAGE(T0_Korrektur!D$1,T0_Korrektur!F$1,T0_Korrektur!H$1)^2)/'Auswertung 3-Schicht'!N$4,'Auswertung 3-Schicht'!N$6+1000*SQRT((A45+1)^2+AVERAGE(T0_Korrektur!D$1,T0_Korrektur!F$1,T0_Korrektur!H$1)^2)/'Auswertung 3-Schicht'!N$5),MIN(1000*SQRT((A45+1)^2+AVERAGE(T0_Korrektur!D$1,T0_Korrektur!F$1,T0_Korrektur!H$1)^2)/'Auswertung 3-Schicht'!N$4,'Auswertung 3-Schicht'!N$6+1000*SQRT((A45+1)^2+AVERAGE(T0_Korrektur!D$1,T0_Korrektur!F$1,T0_Korrektur!H$1)^2)/'Auswertung 3-Schicht'!N$5,'Auswertung 3-Schicht'!N$9+1000*SQRT((A45+1)^2+AVERAGE(T0_Korrektur!D$1,T0_Korrektur!F$1,T0_Korrektur!H$1)^2)/'Auswertung 3-Schicht'!N$8)))</f>
        <v>94.463484446266165</v>
      </c>
      <c r="BR45" s="82">
        <f>ABS(T0_Korrektur!C44)</f>
        <v>76.268948465283046</v>
      </c>
      <c r="BS45" s="42">
        <f>ABS(T0_Korrektur!E44)</f>
        <v>22.556817151362466</v>
      </c>
      <c r="BT45" s="42">
        <f>ABS(T0_Korrektur!I44)</f>
        <v>999</v>
      </c>
      <c r="BU45" s="79">
        <f>ABS(T0_Korrektur!M44)</f>
        <v>999</v>
      </c>
      <c r="BV45" s="120">
        <f>IF(T0_Korrektur!H44="","",T0_Korrektur!H44-Hilfsdaten!BP45)</f>
        <v>-10.71567548610544</v>
      </c>
      <c r="BW45" s="118"/>
      <c r="BX45" s="118"/>
      <c r="BY45" s="118">
        <f>IF(T0_Korrektur!F15="","",T0_Korrektur!F15-Hilfsdaten!BP45)</f>
        <v>-19.301375486105442</v>
      </c>
      <c r="BZ45" s="120">
        <f>IF(T0_Korrektur!H44="","",T0_Korrektur!H44-Hilfsdaten!BQ45)</f>
        <v>-0.28928444626616567</v>
      </c>
      <c r="CA45" s="118"/>
      <c r="CB45" s="118"/>
      <c r="CC45" s="121">
        <f>IF(T0_Korrektur!F15="","",T0_Korrektur!F15-Hilfsdaten!BQ45)</f>
        <v>-8.8749844462661684</v>
      </c>
    </row>
    <row r="46" spans="1:81" x14ac:dyDescent="0.2">
      <c r="A46" s="130">
        <f>'Picks importieren'!B46</f>
        <v>177.5</v>
      </c>
      <c r="B46" s="120" t="str">
        <f>IF(AND($A46&gt;='Auswertung 2-Schicht'!C$3,$A46&lt;='Auswertung 2-Schicht'!C$4),Berechnung!C45,"")</f>
        <v/>
      </c>
      <c r="C46" s="118" t="str">
        <f>IF(AND($A46&gt;='Auswertung 2-Schicht'!D$3,$A46&lt;='Auswertung 2-Schicht'!D$4),Berechnung!D45,"")</f>
        <v/>
      </c>
      <c r="D46" s="118" t="str">
        <f>IF(AND($A46&gt;='Auswertung 2-Schicht'!E$3,$A46&lt;='Auswertung 2-Schicht'!E$4),Berechnung!G45,"")</f>
        <v/>
      </c>
      <c r="E46" s="121" t="str">
        <f>IF(AND($A46&gt;='Auswertung 2-Schicht'!F$3,$A46&lt;='Auswertung 2-Schicht'!F$4),Berechnung!F45,"")</f>
        <v/>
      </c>
      <c r="F46" s="131">
        <f>IF(AND($A46&gt;='Auswertung 2-Schicht'!H$3,$A46&lt;='Auswertung 2-Schicht'!H$4),IF('Auswertung 2-Schicht'!$H$8=1,Berechnung!I45,IF('Auswertung 2-Schicht'!$H$8=2,Berechnung!N45,Berechnung!S45)),"")</f>
        <v>159.4512432402509</v>
      </c>
      <c r="G46" s="118">
        <f>IF(AND($A46&gt;='Auswertung 2-Schicht'!H$3,$A46&lt;='Auswertung 2-Schicht'!H$4),IF('Auswertung 2-Schicht'!$H$8=1,Berechnung!J45,IF('Auswertung 2-Schicht'!$H$8=2,Berechnung!O45,Berechnung!T45)),"")</f>
        <v>25.509544402219973</v>
      </c>
      <c r="H46" s="118" t="str">
        <f>IF(AND($A46&gt;='Auswertung 2-Schicht'!I$3,$A46&lt;='Auswertung 2-Schicht'!I$4),Berechnung!K45,"")</f>
        <v/>
      </c>
      <c r="I46" s="132" t="str">
        <f>IF(AND($A46&gt;='Auswertung 2-Schicht'!J$3,$A46&lt;='Auswertung 2-Schicht'!J$4),Berechnung!L45,"")</f>
        <v/>
      </c>
      <c r="J46" s="118" t="str">
        <f>IF(AND($A46&gt;='Auswertung 2-Schicht'!K$3,$A46&lt;='Auswertung 2-Schicht'!K$4),Berechnung!P45,"")</f>
        <v/>
      </c>
      <c r="K46" s="134" t="str">
        <f>IF(AND($A46&gt;='Auswertung 2-Schicht'!L$3,$A46&lt;='Auswertung 2-Schicht'!L$4),Berechnung!Q45,"")</f>
        <v/>
      </c>
      <c r="L46" s="131">
        <f>IF('Auswertung 2-Schicht'!$H$8=1,Berechnung!I45,IF('Auswertung 2-Schicht'!$H$8=2,Berechnung!N45,Berechnung!S45))</f>
        <v>159.4512432402509</v>
      </c>
      <c r="M46" s="133">
        <f>IF('Auswertung 2-Schicht'!$H$8=1,Berechnung!J45,IF('Auswertung 2-Schicht'!$H$8=2,Berechnung!O45,Berechnung!T45))</f>
        <v>25.509544402219973</v>
      </c>
      <c r="N46" s="82">
        <f t="shared" si="34"/>
        <v>-999</v>
      </c>
      <c r="O46" s="42">
        <f t="shared" si="35"/>
        <v>-999</v>
      </c>
      <c r="P46" s="83">
        <f t="shared" si="36"/>
        <v>-999</v>
      </c>
      <c r="Q46" s="82">
        <f t="shared" si="37"/>
        <v>159.4512432402509</v>
      </c>
      <c r="R46" s="42">
        <f t="shared" si="38"/>
        <v>25.509544402219973</v>
      </c>
      <c r="S46" s="42">
        <f t="shared" si="39"/>
        <v>-999</v>
      </c>
      <c r="T46" s="42">
        <f t="shared" si="40"/>
        <v>-999</v>
      </c>
      <c r="U46" s="42">
        <f t="shared" si="41"/>
        <v>-999</v>
      </c>
      <c r="V46" s="109">
        <f t="shared" si="42"/>
        <v>-999</v>
      </c>
      <c r="W46" s="120" t="str">
        <f>IF(AND($A46&gt;='Auswertung 3-Schicht'!D$3,$A46&lt;='Auswertung 3-Schicht'!D$4),Berechnung!C45,"")</f>
        <v/>
      </c>
      <c r="X46" s="118" t="str">
        <f>IF(AND($A46&gt;='Auswertung 3-Schicht'!E$3,$A46&lt;='Auswertung 3-Schicht'!E$4),Berechnung!D45,"")</f>
        <v/>
      </c>
      <c r="Y46" s="118">
        <f>IF(AND($A46&gt;='Auswertung 3-Schicht'!F$3,$A46&lt;='Auswertung 3-Schicht'!F$4),Berechnung!E45,"")</f>
        <v>30.880201961426543</v>
      </c>
      <c r="Z46" s="132" t="str">
        <f>IF(AND($A46&gt;='Auswertung 3-Schicht'!G$3,$A46&lt;='Auswertung 3-Schicht'!G$4),Berechnung!F45,"")</f>
        <v/>
      </c>
      <c r="AA46" s="118" t="str">
        <f>IF(AND($A46&gt;='Auswertung 3-Schicht'!H$3,$A46&lt;='Auswertung 3-Schicht'!H$4),Berechnung!K45,"")</f>
        <v/>
      </c>
      <c r="AB46" s="134" t="str">
        <f>IF(AND($A46&gt;='Auswertung 3-Schicht'!I$3,$A46&lt;='Auswertung 3-Schicht'!I$4),Berechnung!L45,"")</f>
        <v/>
      </c>
      <c r="AC46" s="118" t="str">
        <f>IF(AND($A46&gt;='Auswertung 3-Schicht'!J$3,$A46&lt;='Auswertung 3-Schicht'!J$4),Berechnung!P45,"")</f>
        <v/>
      </c>
      <c r="AD46" s="121" t="str">
        <f>IF(AND($A46&gt;='Auswertung 3-Schicht'!K$3,$A46&lt;='Auswertung 3-Schicht'!K$4),Berechnung!Q45,"")</f>
        <v/>
      </c>
      <c r="AE46" s="136" t="str">
        <f>IF(AND($A46&gt;='Auswertung 3-Schicht'!D$6,$A46&lt;='Auswertung 3-Schicht'!D$7),Berechnung!C45,"")</f>
        <v/>
      </c>
      <c r="AF46" s="118" t="str">
        <f>IF(AND($A46&gt;='Auswertung 3-Schicht'!E$6,$A46&lt;='Auswertung 3-Schicht'!E$7),Berechnung!D45,"")</f>
        <v/>
      </c>
      <c r="AG46" s="118">
        <f>IF(AND($A46&gt;='Auswertung 3-Schicht'!F$6,$A46&lt;='Auswertung 3-Schicht'!F$7),Berechnung!E45,"")</f>
        <v>30.880201961426543</v>
      </c>
      <c r="AH46" s="118" t="str">
        <f>IF(AND($A46&gt;='Auswertung 3-Schicht'!G$6,$A46&lt;='Auswertung 3-Schicht'!G$7),Berechnung!F45,"")</f>
        <v/>
      </c>
      <c r="AI46" s="118" t="str">
        <f>IF(AND($A46&gt;='Auswertung 3-Schicht'!H$6,$A46&lt;='Auswertung 3-Schicht'!H$7),Berechnung!K45,"")</f>
        <v/>
      </c>
      <c r="AJ46" s="118" t="str">
        <f>IF(AND($A46&gt;='Auswertung 3-Schicht'!I$6,$A46&lt;='Auswertung 3-Schicht'!I$7),Berechnung!L45,"")</f>
        <v/>
      </c>
      <c r="AK46" s="118" t="str">
        <f>IF(AND($A46&gt;='Auswertung 3-Schicht'!J$6,$A46&lt;='Auswertung 3-Schicht'!J$7),Berechnung!P45,"")</f>
        <v/>
      </c>
      <c r="AL46" s="118" t="str">
        <f>IF(AND($A46&gt;='Auswertung 3-Schicht'!K$6,$A46&lt;='Auswertung 3-Schicht'!K$7),Berechnung!Q45,"")</f>
        <v/>
      </c>
      <c r="AM46" s="120" t="str">
        <f>IF(AND($A46&gt;='Auswertung 3-Schicht'!D$10,$A46&lt;='Auswertung 3-Schicht'!D$11),Berechnung!C45,"")</f>
        <v/>
      </c>
      <c r="AN46" s="118">
        <f>IF(AND($A46&gt;='Auswertung 3-Schicht'!E$10,$A46&lt;='Auswertung 3-Schicht'!E$11),Berechnung!D45,"")</f>
        <v>66.099433238541906</v>
      </c>
      <c r="AO46" s="118" t="str">
        <f>IF(AND($A46&gt;='Auswertung 3-Schicht'!F$10,$A46&lt;='Auswertung 3-Schicht'!F$11),Berechnung!E45,"")</f>
        <v/>
      </c>
      <c r="AP46" s="118">
        <f>IF(AND($A46&gt;='Auswertung 3-Schicht'!G$10,$A46&lt;='Auswertung 3-Schicht'!G$11),Berechnung!F45,"")</f>
        <v>95.833908424365177</v>
      </c>
      <c r="AQ46" s="118" t="str">
        <f>IF(AND($A46&gt;='Auswertung 3-Schicht'!H$10,$A46&lt;='Auswertung 3-Schicht'!H$11),Berechnung!K45,"")</f>
        <v/>
      </c>
      <c r="AR46" s="118" t="str">
        <f>IF(AND($A46&gt;='Auswertung 3-Schicht'!I$10,$A46&lt;='Auswertung 3-Schicht'!I$11),Berechnung!L45,"")</f>
        <v/>
      </c>
      <c r="AS46" s="118" t="str">
        <f>IF(AND($A46&gt;='Auswertung 3-Schicht'!J$10,$A46&lt;='Auswertung 3-Schicht'!J$11),Berechnung!P45,"")</f>
        <v/>
      </c>
      <c r="AT46" s="118" t="str">
        <f>IF(AND($A46&gt;='Auswertung 3-Schicht'!K$10,$A46&lt;='Auswertung 3-Schicht'!K$11),Berechnung!Q45,"")</f>
        <v/>
      </c>
      <c r="AU46" s="82">
        <f t="shared" si="11"/>
        <v>-999</v>
      </c>
      <c r="AV46" s="42">
        <f t="shared" si="12"/>
        <v>30.880201961426543</v>
      </c>
      <c r="AW46" s="79">
        <f t="shared" si="13"/>
        <v>-999</v>
      </c>
      <c r="AX46" s="79">
        <f t="shared" si="14"/>
        <v>-999</v>
      </c>
      <c r="AY46" s="79">
        <f t="shared" si="15"/>
        <v>-999</v>
      </c>
      <c r="AZ46" s="42">
        <f t="shared" si="16"/>
        <v>-999</v>
      </c>
      <c r="BA46" s="83">
        <f t="shared" si="17"/>
        <v>-999</v>
      </c>
      <c r="BB46" s="80">
        <f t="shared" si="18"/>
        <v>-999</v>
      </c>
      <c r="BC46" s="42">
        <f t="shared" si="19"/>
        <v>30.880201961426543</v>
      </c>
      <c r="BD46" s="42">
        <f t="shared" si="20"/>
        <v>-999</v>
      </c>
      <c r="BE46" s="42">
        <f t="shared" si="21"/>
        <v>-999</v>
      </c>
      <c r="BF46" s="42">
        <f t="shared" si="22"/>
        <v>-999</v>
      </c>
      <c r="BG46" s="42">
        <f t="shared" si="23"/>
        <v>-999</v>
      </c>
      <c r="BH46" s="83">
        <f t="shared" si="24"/>
        <v>-999</v>
      </c>
      <c r="BI46" s="82">
        <f t="shared" si="25"/>
        <v>66.099433238541906</v>
      </c>
      <c r="BJ46" s="42">
        <f t="shared" si="26"/>
        <v>-999</v>
      </c>
      <c r="BK46" s="42">
        <f t="shared" si="27"/>
        <v>95.833908424365177</v>
      </c>
      <c r="BL46" s="42">
        <f t="shared" si="28"/>
        <v>-999</v>
      </c>
      <c r="BM46" s="42">
        <f t="shared" si="29"/>
        <v>-999</v>
      </c>
      <c r="BN46" s="42">
        <f t="shared" si="30"/>
        <v>-999</v>
      </c>
      <c r="BO46" s="83">
        <f t="shared" si="31"/>
        <v>-999</v>
      </c>
      <c r="BP46" s="80">
        <f>IF('Auswertung 2-Schicht'!O$4="",-999,MIN(1000*SQRT((A46+1)^2+AVERAGE(T0_Korrektur!D$1,T0_Korrektur!F$1,T0_Korrektur!H$1)^2)/'Auswertung 2-Schicht'!$O$4,'Auswertung 2-Schicht'!$O$8+1000*SQRT((A46+1)^2+AVERAGE(T0_Korrektur!D$1,T0_Korrektur!F$1,T0_Korrektur!H$1)^2)/'Auswertung 2-Schicht'!$O$7))</f>
        <v>106.84284993694706</v>
      </c>
      <c r="BQ46" s="83">
        <f>IF('Auswertung 3-Schicht'!N$4="",-999,IF('Auswertung 3-Schicht'!N$8="",MIN(1000*SQRT((A46+1)^2+AVERAGE(T0_Korrektur!D$1,T0_Korrektur!F$1,T0_Korrektur!H$1)^2)/'Auswertung 3-Schicht'!N$4,'Auswertung 3-Schicht'!N$6+1000*SQRT((A46+1)^2+AVERAGE(T0_Korrektur!D$1,T0_Korrektur!F$1,T0_Korrektur!H$1)^2)/'Auswertung 3-Schicht'!N$5),MIN(1000*SQRT((A46+1)^2+AVERAGE(T0_Korrektur!D$1,T0_Korrektur!F$1,T0_Korrektur!H$1)^2)/'Auswertung 3-Schicht'!N$4,'Auswertung 3-Schicht'!N$6+1000*SQRT((A46+1)^2+AVERAGE(T0_Korrektur!D$1,T0_Korrektur!F$1,T0_Korrektur!H$1)^2)/'Auswertung 3-Schicht'!N$5,'Auswertung 3-Schicht'!N$9+1000*SQRT((A46+1)^2+AVERAGE(T0_Korrektur!D$1,T0_Korrektur!F$1,T0_Korrektur!H$1)^2)/'Auswertung 3-Schicht'!N$8)))</f>
        <v>95.993402111871077</v>
      </c>
      <c r="BR46" s="82">
        <f>ABS(T0_Korrektur!C45)</f>
        <v>81.26778266939489</v>
      </c>
      <c r="BS46" s="42">
        <f>ABS(T0_Korrektur!E45)</f>
        <v>17.572990639046047</v>
      </c>
      <c r="BT46" s="42">
        <f>ABS(T0_Korrektur!I45)</f>
        <v>999</v>
      </c>
      <c r="BU46" s="79">
        <f>ABS(T0_Korrektur!M45)</f>
        <v>999</v>
      </c>
      <c r="BV46" s="120">
        <f>IF(T0_Korrektur!H45="","",T0_Korrektur!H45-Hilfsdaten!BP46)</f>
        <v>-11.004149936947059</v>
      </c>
      <c r="BW46" s="118"/>
      <c r="BX46" s="118"/>
      <c r="BY46" s="118">
        <f>IF(T0_Korrektur!F14="","",T0_Korrektur!F14-Hilfsdaten!BP46)</f>
        <v>-19.618949936947061</v>
      </c>
      <c r="BZ46" s="120">
        <f>IF(T0_Korrektur!H45="","",T0_Korrektur!H45-Hilfsdaten!BQ46)</f>
        <v>-0.15470211187107452</v>
      </c>
      <c r="CA46" s="118"/>
      <c r="CB46" s="118"/>
      <c r="CC46" s="121">
        <f>IF(T0_Korrektur!F14="","",T0_Korrektur!F14-Hilfsdaten!BQ46)</f>
        <v>-8.769502111871077</v>
      </c>
    </row>
    <row r="47" spans="1:81" x14ac:dyDescent="0.2">
      <c r="A47" s="130">
        <f>'Picks importieren'!B47</f>
        <v>182.5</v>
      </c>
      <c r="B47" s="120" t="str">
        <f>IF(AND($A47&gt;='Auswertung 2-Schicht'!C$3,$A47&lt;='Auswertung 2-Schicht'!C$4),Berechnung!C46,"")</f>
        <v/>
      </c>
      <c r="C47" s="118" t="str">
        <f>IF(AND($A47&gt;='Auswertung 2-Schicht'!D$3,$A47&lt;='Auswertung 2-Schicht'!D$4),Berechnung!D46,"")</f>
        <v/>
      </c>
      <c r="D47" s="118">
        <f>IF(AND($A47&gt;='Auswertung 2-Schicht'!E$3,$A47&lt;='Auswertung 2-Schicht'!E$4),Berechnung!G46,"")</f>
        <v>22.751144654340436</v>
      </c>
      <c r="E47" s="121" t="str">
        <f>IF(AND($A47&gt;='Auswertung 2-Schicht'!F$3,$A47&lt;='Auswertung 2-Schicht'!F$4),Berechnung!F46,"")</f>
        <v/>
      </c>
      <c r="F47" s="131" t="str">
        <f>IF(AND($A47&gt;='Auswertung 2-Schicht'!H$3,$A47&lt;='Auswertung 2-Schicht'!H$4),IF('Auswertung 2-Schicht'!$H$8=1,Berechnung!I46,IF('Auswertung 2-Schicht'!$H$8=2,Berechnung!N46,Berechnung!S46)),"")</f>
        <v/>
      </c>
      <c r="G47" s="118" t="str">
        <f>IF(AND($A47&gt;='Auswertung 2-Schicht'!H$3,$A47&lt;='Auswertung 2-Schicht'!H$4),IF('Auswertung 2-Schicht'!$H$8=1,Berechnung!J46,IF('Auswertung 2-Schicht'!$H$8=2,Berechnung!O46,Berechnung!T46)),"")</f>
        <v/>
      </c>
      <c r="H47" s="118" t="str">
        <f>IF(AND($A47&gt;='Auswertung 2-Schicht'!I$3,$A47&lt;='Auswertung 2-Schicht'!I$4),Berechnung!K46,"")</f>
        <v/>
      </c>
      <c r="I47" s="132" t="str">
        <f>IF(AND($A47&gt;='Auswertung 2-Schicht'!J$3,$A47&lt;='Auswertung 2-Schicht'!J$4),Berechnung!L46,"")</f>
        <v/>
      </c>
      <c r="J47" s="118" t="str">
        <f>IF(AND($A47&gt;='Auswertung 2-Schicht'!K$3,$A47&lt;='Auswertung 2-Schicht'!K$4),Berechnung!P46,"")</f>
        <v/>
      </c>
      <c r="K47" s="134" t="str">
        <f>IF(AND($A47&gt;='Auswertung 2-Schicht'!L$3,$A47&lt;='Auswertung 2-Schicht'!L$4),Berechnung!Q46,"")</f>
        <v/>
      </c>
      <c r="L47" s="131">
        <f>IF('Auswertung 2-Schicht'!$H$8=1,Berechnung!I46,IF('Auswertung 2-Schicht'!$H$8=2,Berechnung!N46,Berechnung!S46))</f>
        <v>167.49185265748832</v>
      </c>
      <c r="M47" s="133">
        <f>IF('Auswertung 2-Schicht'!$H$8=1,Berechnung!J46,IF('Auswertung 2-Schicht'!$H$8=2,Berechnung!O46,Berechnung!T46))</f>
        <v>19.51794899558999</v>
      </c>
      <c r="N47" s="82">
        <f t="shared" si="34"/>
        <v>-999</v>
      </c>
      <c r="O47" s="42">
        <f t="shared" si="35"/>
        <v>22.751144654340436</v>
      </c>
      <c r="P47" s="83">
        <f t="shared" si="36"/>
        <v>-999</v>
      </c>
      <c r="Q47" s="82">
        <f t="shared" si="37"/>
        <v>-999</v>
      </c>
      <c r="R47" s="42">
        <f t="shared" si="38"/>
        <v>-999</v>
      </c>
      <c r="S47" s="42">
        <f t="shared" si="39"/>
        <v>-999</v>
      </c>
      <c r="T47" s="42">
        <f t="shared" si="40"/>
        <v>-999</v>
      </c>
      <c r="U47" s="42">
        <f t="shared" si="41"/>
        <v>-999</v>
      </c>
      <c r="V47" s="109">
        <f t="shared" si="42"/>
        <v>-999</v>
      </c>
      <c r="W47" s="120" t="str">
        <f>IF(AND($A47&gt;='Auswertung 3-Schicht'!D$3,$A47&lt;='Auswertung 3-Schicht'!D$4),Berechnung!C46,"")</f>
        <v/>
      </c>
      <c r="X47" s="118" t="str">
        <f>IF(AND($A47&gt;='Auswertung 3-Schicht'!E$3,$A47&lt;='Auswertung 3-Schicht'!E$4),Berechnung!D46,"")</f>
        <v/>
      </c>
      <c r="Y47" s="118">
        <f>IF(AND($A47&gt;='Auswertung 3-Schicht'!F$3,$A47&lt;='Auswertung 3-Schicht'!F$4),Berechnung!E46,"")</f>
        <v>23.864099549492831</v>
      </c>
      <c r="Z47" s="132" t="str">
        <f>IF(AND($A47&gt;='Auswertung 3-Schicht'!G$3,$A47&lt;='Auswertung 3-Schicht'!G$4),Berechnung!F46,"")</f>
        <v/>
      </c>
      <c r="AA47" s="118" t="str">
        <f>IF(AND($A47&gt;='Auswertung 3-Schicht'!H$3,$A47&lt;='Auswertung 3-Schicht'!H$4),Berechnung!K46,"")</f>
        <v/>
      </c>
      <c r="AB47" s="134" t="str">
        <f>IF(AND($A47&gt;='Auswertung 3-Schicht'!I$3,$A47&lt;='Auswertung 3-Schicht'!I$4),Berechnung!L46,"")</f>
        <v/>
      </c>
      <c r="AC47" s="118" t="str">
        <f>IF(AND($A47&gt;='Auswertung 3-Schicht'!J$3,$A47&lt;='Auswertung 3-Schicht'!J$4),Berechnung!P46,"")</f>
        <v/>
      </c>
      <c r="AD47" s="121" t="str">
        <f>IF(AND($A47&gt;='Auswertung 3-Schicht'!K$3,$A47&lt;='Auswertung 3-Schicht'!K$4),Berechnung!Q46,"")</f>
        <v/>
      </c>
      <c r="AE47" s="136" t="str">
        <f>IF(AND($A47&gt;='Auswertung 3-Schicht'!D$6,$A47&lt;='Auswertung 3-Schicht'!D$7),Berechnung!C46,"")</f>
        <v/>
      </c>
      <c r="AF47" s="118" t="str">
        <f>IF(AND($A47&gt;='Auswertung 3-Schicht'!E$6,$A47&lt;='Auswertung 3-Schicht'!E$7),Berechnung!D46,"")</f>
        <v/>
      </c>
      <c r="AG47" s="118" t="str">
        <f>IF(AND($A47&gt;='Auswertung 3-Schicht'!F$6,$A47&lt;='Auswertung 3-Schicht'!F$7),Berechnung!E46,"")</f>
        <v/>
      </c>
      <c r="AH47" s="118" t="str">
        <f>IF(AND($A47&gt;='Auswertung 3-Schicht'!G$6,$A47&lt;='Auswertung 3-Schicht'!G$7),Berechnung!F46,"")</f>
        <v/>
      </c>
      <c r="AI47" s="118" t="str">
        <f>IF(AND($A47&gt;='Auswertung 3-Schicht'!H$6,$A47&lt;='Auswertung 3-Schicht'!H$7),Berechnung!K46,"")</f>
        <v/>
      </c>
      <c r="AJ47" s="118" t="str">
        <f>IF(AND($A47&gt;='Auswertung 3-Schicht'!I$6,$A47&lt;='Auswertung 3-Schicht'!I$7),Berechnung!L46,"")</f>
        <v/>
      </c>
      <c r="AK47" s="118" t="str">
        <f>IF(AND($A47&gt;='Auswertung 3-Schicht'!J$6,$A47&lt;='Auswertung 3-Schicht'!J$7),Berechnung!P46,"")</f>
        <v/>
      </c>
      <c r="AL47" s="118" t="str">
        <f>IF(AND($A47&gt;='Auswertung 3-Schicht'!K$6,$A47&lt;='Auswertung 3-Schicht'!K$7),Berechnung!Q46,"")</f>
        <v/>
      </c>
      <c r="AM47" s="120" t="str">
        <f>IF(AND($A47&gt;='Auswertung 3-Schicht'!D$10,$A47&lt;='Auswertung 3-Schicht'!D$11),Berechnung!C46,"")</f>
        <v/>
      </c>
      <c r="AN47" s="118">
        <f>IF(AND($A47&gt;='Auswertung 3-Schicht'!E$10,$A47&lt;='Auswertung 3-Schicht'!E$11),Berechnung!D46,"")</f>
        <v>67.321124484269745</v>
      </c>
      <c r="AO47" s="118" t="str">
        <f>IF(AND($A47&gt;='Auswertung 3-Schicht'!F$10,$A47&lt;='Auswertung 3-Schicht'!F$11),Berechnung!E46,"")</f>
        <v/>
      </c>
      <c r="AP47" s="118">
        <f>IF(AND($A47&gt;='Auswertung 3-Schicht'!G$10,$A47&lt;='Auswertung 3-Schicht'!G$11),Berechnung!F46,"")</f>
        <v>96.858415429668895</v>
      </c>
      <c r="AQ47" s="118" t="str">
        <f>IF(AND($A47&gt;='Auswertung 3-Schicht'!H$10,$A47&lt;='Auswertung 3-Schicht'!H$11),Berechnung!K46,"")</f>
        <v/>
      </c>
      <c r="AR47" s="118" t="str">
        <f>IF(AND($A47&gt;='Auswertung 3-Schicht'!I$10,$A47&lt;='Auswertung 3-Schicht'!I$11),Berechnung!L46,"")</f>
        <v/>
      </c>
      <c r="AS47" s="118" t="str">
        <f>IF(AND($A47&gt;='Auswertung 3-Schicht'!J$10,$A47&lt;='Auswertung 3-Schicht'!J$11),Berechnung!P46,"")</f>
        <v/>
      </c>
      <c r="AT47" s="118" t="str">
        <f>IF(AND($A47&gt;='Auswertung 3-Schicht'!K$10,$A47&lt;='Auswertung 3-Schicht'!K$11),Berechnung!Q46,"")</f>
        <v/>
      </c>
      <c r="AU47" s="82">
        <f t="shared" si="11"/>
        <v>-999</v>
      </c>
      <c r="AV47" s="42">
        <f t="shared" si="12"/>
        <v>23.864099549492831</v>
      </c>
      <c r="AW47" s="79">
        <f t="shared" si="13"/>
        <v>-999</v>
      </c>
      <c r="AX47" s="79">
        <f t="shared" si="14"/>
        <v>-999</v>
      </c>
      <c r="AY47" s="79">
        <f t="shared" si="15"/>
        <v>-999</v>
      </c>
      <c r="AZ47" s="42">
        <f t="shared" si="16"/>
        <v>-999</v>
      </c>
      <c r="BA47" s="83">
        <f t="shared" si="17"/>
        <v>-999</v>
      </c>
      <c r="BB47" s="80">
        <f t="shared" si="18"/>
        <v>-999</v>
      </c>
      <c r="BC47" s="42">
        <f t="shared" si="19"/>
        <v>-999</v>
      </c>
      <c r="BD47" s="42">
        <f t="shared" si="20"/>
        <v>-999</v>
      </c>
      <c r="BE47" s="42">
        <f t="shared" si="21"/>
        <v>-999</v>
      </c>
      <c r="BF47" s="42">
        <f t="shared" si="22"/>
        <v>-999</v>
      </c>
      <c r="BG47" s="42">
        <f t="shared" si="23"/>
        <v>-999</v>
      </c>
      <c r="BH47" s="83">
        <f t="shared" si="24"/>
        <v>-999</v>
      </c>
      <c r="BI47" s="82">
        <f t="shared" si="25"/>
        <v>67.321124484269745</v>
      </c>
      <c r="BJ47" s="42">
        <f t="shared" si="26"/>
        <v>-999</v>
      </c>
      <c r="BK47" s="42">
        <f t="shared" si="27"/>
        <v>96.858415429668895</v>
      </c>
      <c r="BL47" s="42">
        <f t="shared" si="28"/>
        <v>-999</v>
      </c>
      <c r="BM47" s="42">
        <f t="shared" si="29"/>
        <v>-999</v>
      </c>
      <c r="BN47" s="42">
        <f t="shared" si="30"/>
        <v>-999</v>
      </c>
      <c r="BO47" s="83">
        <f t="shared" si="31"/>
        <v>-999</v>
      </c>
      <c r="BP47" s="80">
        <f>IF('Auswertung 2-Schicht'!O$4="",-999,MIN(1000*SQRT((A47+1)^2+AVERAGE(T0_Korrektur!D$1,T0_Korrektur!F$1,T0_Korrektur!H$1)^2)/'Auswertung 2-Schicht'!$O$4,'Auswertung 2-Schicht'!$O$8+1000*SQRT((A47+1)^2+AVERAGE(T0_Korrektur!D$1,T0_Korrektur!F$1,T0_Korrektur!H$1)^2)/'Auswertung 2-Schicht'!$O$7))</f>
        <v>108.7958293531602</v>
      </c>
      <c r="BQ47" s="83">
        <f>IF('Auswertung 3-Schicht'!N$4="",-999,IF('Auswertung 3-Schicht'!N$8="",MIN(1000*SQRT((A47+1)^2+AVERAGE(T0_Korrektur!D$1,T0_Korrektur!F$1,T0_Korrektur!H$1)^2)/'Auswertung 3-Schicht'!N$4,'Auswertung 3-Schicht'!N$6+1000*SQRT((A47+1)^2+AVERAGE(T0_Korrektur!D$1,T0_Korrektur!F$1,T0_Korrektur!H$1)^2)/'Auswertung 3-Schicht'!N$5),MIN(1000*SQRT((A47+1)^2+AVERAGE(T0_Korrektur!D$1,T0_Korrektur!F$1,T0_Korrektur!H$1)^2)/'Auswertung 3-Schicht'!N$4,'Auswertung 3-Schicht'!N$6+1000*SQRT((A47+1)^2+AVERAGE(T0_Korrektur!D$1,T0_Korrektur!F$1,T0_Korrektur!H$1)^2)/'Auswertung 3-Schicht'!N$5,'Auswertung 3-Schicht'!N$9+1000*SQRT((A47+1)^2+AVERAGE(T0_Korrektur!D$1,T0_Korrektur!F$1,T0_Korrektur!H$1)^2)/'Auswertung 3-Schicht'!N$8)))</f>
        <v>97.523323667239936</v>
      </c>
      <c r="BR47" s="82">
        <f>ABS(T0_Korrektur!C46)</f>
        <v>86.266751996351417</v>
      </c>
      <c r="BS47" s="42">
        <f>ABS(T0_Korrektur!E46)</f>
        <v>12.601983970788092</v>
      </c>
      <c r="BT47" s="42">
        <f>ABS(T0_Korrektur!I46)</f>
        <v>999</v>
      </c>
      <c r="BU47" s="79">
        <f>ABS(T0_Korrektur!M46)</f>
        <v>999</v>
      </c>
      <c r="BV47" s="120">
        <f>IF(T0_Korrektur!H46="","",T0_Korrektur!H46-Hilfsdaten!BP47)</f>
        <v>-11.932829353160201</v>
      </c>
      <c r="BW47" s="118"/>
      <c r="BX47" s="118"/>
      <c r="BY47" s="118">
        <f>IF(T0_Korrektur!F13="","",T0_Korrektur!F13-Hilfsdaten!BP47)</f>
        <v>-19.9366293531602</v>
      </c>
      <c r="BZ47" s="120">
        <f>IF(T0_Korrektur!H46="","",T0_Korrektur!H46-Hilfsdaten!BQ47)</f>
        <v>-0.66032366723993619</v>
      </c>
      <c r="CA47" s="118"/>
      <c r="CB47" s="118"/>
      <c r="CC47" s="121">
        <f>IF(T0_Korrektur!F13="","",T0_Korrektur!F13-Hilfsdaten!BQ47)</f>
        <v>-8.6641236672399344</v>
      </c>
    </row>
    <row r="48" spans="1:81" x14ac:dyDescent="0.2">
      <c r="A48" s="130">
        <f>'Picks importieren'!B48</f>
        <v>185</v>
      </c>
      <c r="B48" s="120" t="str">
        <f>IF(AND($A48&gt;='Auswertung 2-Schicht'!C$3,$A48&lt;='Auswertung 2-Schicht'!C$4),Berechnung!C47,"")</f>
        <v/>
      </c>
      <c r="C48" s="118" t="str">
        <f>IF(AND($A48&gt;='Auswertung 2-Schicht'!D$3,$A48&lt;='Auswertung 2-Schicht'!D$4),Berechnung!D47,"")</f>
        <v/>
      </c>
      <c r="D48" s="118">
        <f>IF(AND($A48&gt;='Auswertung 2-Schicht'!E$3,$A48&lt;='Auswertung 2-Schicht'!E$4),Berechnung!G47,"")</f>
        <v>18.202963770149424</v>
      </c>
      <c r="E48" s="121" t="str">
        <f>IF(AND($A48&gt;='Auswertung 2-Schicht'!F$3,$A48&lt;='Auswertung 2-Schicht'!F$4),Berechnung!F47,"")</f>
        <v/>
      </c>
      <c r="F48" s="131" t="str">
        <f>IF(AND($A48&gt;='Auswertung 2-Schicht'!H$3,$A48&lt;='Auswertung 2-Schicht'!H$4),IF('Auswertung 2-Schicht'!$H$8=1,Berechnung!I47,IF('Auswertung 2-Schicht'!$H$8=2,Berechnung!N47,Berechnung!S47)),"")</f>
        <v/>
      </c>
      <c r="G48" s="118" t="str">
        <f>IF(AND($A48&gt;='Auswertung 2-Schicht'!H$3,$A48&lt;='Auswertung 2-Schicht'!H$4),IF('Auswertung 2-Schicht'!$H$8=1,Berechnung!J47,IF('Auswertung 2-Schicht'!$H$8=2,Berechnung!O47,Berechnung!T47)),"")</f>
        <v/>
      </c>
      <c r="H48" s="118" t="str">
        <f>IF(AND($A48&gt;='Auswertung 2-Schicht'!I$3,$A48&lt;='Auswertung 2-Schicht'!I$4),Berechnung!K47,"")</f>
        <v/>
      </c>
      <c r="I48" s="132" t="str">
        <f>IF(AND($A48&gt;='Auswertung 2-Schicht'!J$3,$A48&lt;='Auswertung 2-Schicht'!J$4),Berechnung!L47,"")</f>
        <v/>
      </c>
      <c r="J48" s="118" t="str">
        <f>IF(AND($A48&gt;='Auswertung 2-Schicht'!K$3,$A48&lt;='Auswertung 2-Schicht'!K$4),Berechnung!P47,"")</f>
        <v/>
      </c>
      <c r="K48" s="134" t="str">
        <f>IF(AND($A48&gt;='Auswertung 2-Schicht'!L$3,$A48&lt;='Auswertung 2-Schicht'!L$4),Berechnung!Q47,"")</f>
        <v/>
      </c>
      <c r="L48" s="131">
        <f>IF('Auswertung 2-Schicht'!$H$8=1,Berechnung!I47,IF('Auswertung 2-Schicht'!$H$8=2,Berechnung!N47,Berechnung!S47))</f>
        <v>172.80841957264309</v>
      </c>
      <c r="M48" s="133">
        <f>IF('Auswertung 2-Schicht'!$H$8=1,Berechnung!J47,IF('Auswertung 2-Schicht'!$H$8=2,Berechnung!O47,Berechnung!T47))</f>
        <v>15.738154142362731</v>
      </c>
      <c r="N48" s="82">
        <f t="shared" si="34"/>
        <v>-999</v>
      </c>
      <c r="O48" s="42">
        <f t="shared" si="35"/>
        <v>18.202963770149424</v>
      </c>
      <c r="P48" s="83">
        <f t="shared" si="36"/>
        <v>-999</v>
      </c>
      <c r="Q48" s="82">
        <f t="shared" si="37"/>
        <v>-999</v>
      </c>
      <c r="R48" s="42">
        <f t="shared" si="38"/>
        <v>-999</v>
      </c>
      <c r="S48" s="42">
        <f t="shared" si="39"/>
        <v>-999</v>
      </c>
      <c r="T48" s="42">
        <f t="shared" si="40"/>
        <v>-999</v>
      </c>
      <c r="U48" s="42">
        <f t="shared" si="41"/>
        <v>-999</v>
      </c>
      <c r="V48" s="109">
        <f t="shared" si="42"/>
        <v>-999</v>
      </c>
      <c r="W48" s="120" t="str">
        <f>IF(AND($A48&gt;='Auswertung 3-Schicht'!D$3,$A48&lt;='Auswertung 3-Schicht'!D$4),Berechnung!C47,"")</f>
        <v/>
      </c>
      <c r="X48" s="118" t="str">
        <f>IF(AND($A48&gt;='Auswertung 3-Schicht'!E$3,$A48&lt;='Auswertung 3-Schicht'!E$4),Berechnung!D47,"")</f>
        <v/>
      </c>
      <c r="Y48" s="118">
        <f>IF(AND($A48&gt;='Auswertung 3-Schicht'!F$3,$A48&lt;='Auswertung 3-Schicht'!F$4),Berechnung!E47,"")</f>
        <v>19.315918665301822</v>
      </c>
      <c r="Z48" s="132" t="str">
        <f>IF(AND($A48&gt;='Auswertung 3-Schicht'!G$3,$A48&lt;='Auswertung 3-Schicht'!G$4),Berechnung!F47,"")</f>
        <v/>
      </c>
      <c r="AA48" s="118" t="str">
        <f>IF(AND($A48&gt;='Auswertung 3-Schicht'!H$3,$A48&lt;='Auswertung 3-Schicht'!H$4),Berechnung!K47,"")</f>
        <v/>
      </c>
      <c r="AB48" s="134" t="str">
        <f>IF(AND($A48&gt;='Auswertung 3-Schicht'!I$3,$A48&lt;='Auswertung 3-Schicht'!I$4),Berechnung!L47,"")</f>
        <v/>
      </c>
      <c r="AC48" s="118" t="str">
        <f>IF(AND($A48&gt;='Auswertung 3-Schicht'!J$3,$A48&lt;='Auswertung 3-Schicht'!J$4),Berechnung!P47,"")</f>
        <v/>
      </c>
      <c r="AD48" s="121" t="str">
        <f>IF(AND($A48&gt;='Auswertung 3-Schicht'!K$3,$A48&lt;='Auswertung 3-Schicht'!K$4),Berechnung!Q47,"")</f>
        <v/>
      </c>
      <c r="AE48" s="136" t="str">
        <f>IF(AND($A48&gt;='Auswertung 3-Schicht'!D$6,$A48&lt;='Auswertung 3-Schicht'!D$7),Berechnung!C47,"")</f>
        <v/>
      </c>
      <c r="AF48" s="118" t="str">
        <f>IF(AND($A48&gt;='Auswertung 3-Schicht'!E$6,$A48&lt;='Auswertung 3-Schicht'!E$7),Berechnung!D47,"")</f>
        <v/>
      </c>
      <c r="AG48" s="118" t="str">
        <f>IF(AND($A48&gt;='Auswertung 3-Schicht'!F$6,$A48&lt;='Auswertung 3-Schicht'!F$7),Berechnung!E47,"")</f>
        <v/>
      </c>
      <c r="AH48" s="118" t="str">
        <f>IF(AND($A48&gt;='Auswertung 3-Schicht'!G$6,$A48&lt;='Auswertung 3-Schicht'!G$7),Berechnung!F47,"")</f>
        <v/>
      </c>
      <c r="AI48" s="118" t="str">
        <f>IF(AND($A48&gt;='Auswertung 3-Schicht'!H$6,$A48&lt;='Auswertung 3-Schicht'!H$7),Berechnung!K47,"")</f>
        <v/>
      </c>
      <c r="AJ48" s="118" t="str">
        <f>IF(AND($A48&gt;='Auswertung 3-Schicht'!I$6,$A48&lt;='Auswertung 3-Schicht'!I$7),Berechnung!L47,"")</f>
        <v/>
      </c>
      <c r="AK48" s="118" t="str">
        <f>IF(AND($A48&gt;='Auswertung 3-Schicht'!J$6,$A48&lt;='Auswertung 3-Schicht'!J$7),Berechnung!P47,"")</f>
        <v/>
      </c>
      <c r="AL48" s="118" t="str">
        <f>IF(AND($A48&gt;='Auswertung 3-Schicht'!K$6,$A48&lt;='Auswertung 3-Schicht'!K$7),Berechnung!Q47,"")</f>
        <v/>
      </c>
      <c r="AM48" s="120" t="str">
        <f>IF(AND($A48&gt;='Auswertung 3-Schicht'!D$10,$A48&lt;='Auswertung 3-Schicht'!D$11),Berechnung!C47,"")</f>
        <v/>
      </c>
      <c r="AN48" s="118">
        <f>IF(AND($A48&gt;='Auswertung 3-Schicht'!E$10,$A48&lt;='Auswertung 3-Schicht'!E$11),Berechnung!D47,"")</f>
        <v>68.448043970305875</v>
      </c>
      <c r="AO48" s="118" t="str">
        <f>IF(AND($A48&gt;='Auswertung 3-Schicht'!F$10,$A48&lt;='Auswertung 3-Schicht'!F$11),Berechnung!E47,"")</f>
        <v/>
      </c>
      <c r="AP48" s="118">
        <f>IF(AND($A48&gt;='Auswertung 3-Schicht'!G$10,$A48&lt;='Auswertung 3-Schicht'!G$11),Berechnung!F47,"")</f>
        <v>97.626801460632649</v>
      </c>
      <c r="AQ48" s="118" t="str">
        <f>IF(AND($A48&gt;='Auswertung 3-Schicht'!H$10,$A48&lt;='Auswertung 3-Schicht'!H$11),Berechnung!K47,"")</f>
        <v/>
      </c>
      <c r="AR48" s="118" t="str">
        <f>IF(AND($A48&gt;='Auswertung 3-Schicht'!I$10,$A48&lt;='Auswertung 3-Schicht'!I$11),Berechnung!L47,"")</f>
        <v/>
      </c>
      <c r="AS48" s="118" t="str">
        <f>IF(AND($A48&gt;='Auswertung 3-Schicht'!J$10,$A48&lt;='Auswertung 3-Schicht'!J$11),Berechnung!P47,"")</f>
        <v/>
      </c>
      <c r="AT48" s="118" t="str">
        <f>IF(AND($A48&gt;='Auswertung 3-Schicht'!K$10,$A48&lt;='Auswertung 3-Schicht'!K$11),Berechnung!Q47,"")</f>
        <v/>
      </c>
      <c r="AU48" s="82">
        <f t="shared" si="11"/>
        <v>-999</v>
      </c>
      <c r="AV48" s="42">
        <f t="shared" si="12"/>
        <v>19.315918665301822</v>
      </c>
      <c r="AW48" s="79">
        <f t="shared" si="13"/>
        <v>-999</v>
      </c>
      <c r="AX48" s="79">
        <f t="shared" si="14"/>
        <v>-999</v>
      </c>
      <c r="AY48" s="79">
        <f t="shared" si="15"/>
        <v>-999</v>
      </c>
      <c r="AZ48" s="42">
        <f t="shared" si="16"/>
        <v>-999</v>
      </c>
      <c r="BA48" s="83">
        <f t="shared" si="17"/>
        <v>-999</v>
      </c>
      <c r="BB48" s="80">
        <f t="shared" si="18"/>
        <v>-999</v>
      </c>
      <c r="BC48" s="42">
        <f t="shared" si="19"/>
        <v>-999</v>
      </c>
      <c r="BD48" s="42">
        <f t="shared" si="20"/>
        <v>-999</v>
      </c>
      <c r="BE48" s="42">
        <f t="shared" si="21"/>
        <v>-999</v>
      </c>
      <c r="BF48" s="42">
        <f t="shared" si="22"/>
        <v>-999</v>
      </c>
      <c r="BG48" s="42">
        <f t="shared" si="23"/>
        <v>-999</v>
      </c>
      <c r="BH48" s="83">
        <f t="shared" si="24"/>
        <v>-999</v>
      </c>
      <c r="BI48" s="82">
        <f t="shared" si="25"/>
        <v>68.448043970305875</v>
      </c>
      <c r="BJ48" s="42">
        <f t="shared" si="26"/>
        <v>-999</v>
      </c>
      <c r="BK48" s="42">
        <f t="shared" si="27"/>
        <v>97.626801460632649</v>
      </c>
      <c r="BL48" s="42">
        <f t="shared" si="28"/>
        <v>-999</v>
      </c>
      <c r="BM48" s="42">
        <f t="shared" si="29"/>
        <v>-999</v>
      </c>
      <c r="BN48" s="42">
        <f t="shared" si="30"/>
        <v>-999</v>
      </c>
      <c r="BO48" s="83">
        <f t="shared" si="31"/>
        <v>-999</v>
      </c>
      <c r="BP48" s="80">
        <f>IF('Auswertung 2-Schicht'!O$4="",-999,MIN(1000*SQRT((A48+1)^2+AVERAGE(T0_Korrektur!D$1,T0_Korrektur!F$1,T0_Korrektur!H$1)^2)/'Auswertung 2-Schicht'!$O$4,'Auswertung 2-Schicht'!$O$8+1000*SQRT((A48+1)^2+AVERAGE(T0_Korrektur!D$1,T0_Korrektur!F$1,T0_Korrektur!H$1)^2)/'Auswertung 2-Schicht'!$O$7))</f>
        <v>109.7723207981565</v>
      </c>
      <c r="BQ48" s="83">
        <f>IF('Auswertung 3-Schicht'!N$4="",-999,IF('Auswertung 3-Schicht'!N$8="",MIN(1000*SQRT((A48+1)^2+AVERAGE(T0_Korrektur!D$1,T0_Korrektur!F$1,T0_Korrektur!H$1)^2)/'Auswertung 3-Schicht'!N$4,'Auswertung 3-Schicht'!N$6+1000*SQRT((A48+1)^2+AVERAGE(T0_Korrektur!D$1,T0_Korrektur!F$1,T0_Korrektur!H$1)^2)/'Auswertung 3-Schicht'!N$5),MIN(1000*SQRT((A48+1)^2+AVERAGE(T0_Korrektur!D$1,T0_Korrektur!F$1,T0_Korrektur!H$1)^2)/'Auswertung 3-Schicht'!N$4,'Auswertung 3-Schicht'!N$6+1000*SQRT((A48+1)^2+AVERAGE(T0_Korrektur!D$1,T0_Korrektur!F$1,T0_Korrektur!H$1)^2)/'Auswertung 3-Schicht'!N$5,'Auswertung 3-Schicht'!N$9+1000*SQRT((A48+1)^2+AVERAGE(T0_Korrektur!D$1,T0_Korrektur!F$1,T0_Korrektur!H$1)^2)/'Auswertung 3-Schicht'!N$8)))</f>
        <v>98.288285805565963</v>
      </c>
      <c r="BR48" s="82">
        <f>ABS(T0_Korrektur!C47)</f>
        <v>88.766280196930637</v>
      </c>
      <c r="BS48" s="42">
        <f>ABS(T0_Korrektur!E47)</f>
        <v>10.127191120937731</v>
      </c>
      <c r="BT48" s="42">
        <f>ABS(T0_Korrektur!I47)</f>
        <v>999</v>
      </c>
      <c r="BU48" s="79">
        <f>ABS(T0_Korrektur!M47)</f>
        <v>999</v>
      </c>
      <c r="BV48" s="120">
        <f>IF(T0_Korrektur!H47="","",T0_Korrektur!H47-Hilfsdaten!BP48)</f>
        <v>-12.141020798156504</v>
      </c>
      <c r="BW48" s="118"/>
      <c r="BX48" s="118"/>
      <c r="BY48" s="118">
        <f>IF(T0_Korrektur!F12="","",T0_Korrektur!F12-Hilfsdaten!BP48)</f>
        <v>-19.277720798156494</v>
      </c>
      <c r="BZ48" s="120">
        <f>IF(T0_Korrektur!H47="","",T0_Korrektur!H47-Hilfsdaten!BQ48)</f>
        <v>-0.65698580556596653</v>
      </c>
      <c r="CA48" s="118"/>
      <c r="CB48" s="118"/>
      <c r="CC48" s="121">
        <f>IF(T0_Korrektur!F12="","",T0_Korrektur!F12-Hilfsdaten!BQ48)</f>
        <v>-7.793685805565957</v>
      </c>
    </row>
    <row r="49" spans="1:81" x14ac:dyDescent="0.2">
      <c r="A49" s="130">
        <f>'Picks importieren'!B49</f>
        <v>187.5</v>
      </c>
      <c r="B49" s="120" t="str">
        <f>IF(AND($A49&gt;='Auswertung 2-Schicht'!C$3,$A49&lt;='Auswertung 2-Schicht'!C$4),Berechnung!C48,"")</f>
        <v/>
      </c>
      <c r="C49" s="118" t="str">
        <f>IF(AND($A49&gt;='Auswertung 2-Schicht'!D$3,$A49&lt;='Auswertung 2-Schicht'!D$4),Berechnung!D48,"")</f>
        <v/>
      </c>
      <c r="D49" s="118">
        <f>IF(AND($A49&gt;='Auswertung 2-Schicht'!E$3,$A49&lt;='Auswertung 2-Schicht'!E$4),Berechnung!G48,"")</f>
        <v>13.619920389877933</v>
      </c>
      <c r="E49" s="121" t="str">
        <f>IF(AND($A49&gt;='Auswertung 2-Schicht'!F$3,$A49&lt;='Auswertung 2-Schicht'!F$4),Berechnung!F48,"")</f>
        <v/>
      </c>
      <c r="F49" s="131" t="str">
        <f>IF(AND($A49&gt;='Auswertung 2-Schicht'!H$3,$A49&lt;='Auswertung 2-Schicht'!H$4),IF('Auswertung 2-Schicht'!$H$8=1,Berechnung!I48,IF('Auswertung 2-Schicht'!$H$8=2,Berechnung!N48,Berechnung!S48)),"")</f>
        <v/>
      </c>
      <c r="G49" s="118" t="str">
        <f>IF(AND($A49&gt;='Auswertung 2-Schicht'!H$3,$A49&lt;='Auswertung 2-Schicht'!H$4),IF('Auswertung 2-Schicht'!$H$8=1,Berechnung!J48,IF('Auswertung 2-Schicht'!$H$8=2,Berechnung!O48,Berechnung!T48)),"")</f>
        <v/>
      </c>
      <c r="H49" s="118" t="str">
        <f>IF(AND($A49&gt;='Auswertung 2-Schicht'!I$3,$A49&lt;='Auswertung 2-Schicht'!I$4),Berechnung!K48,"")</f>
        <v/>
      </c>
      <c r="I49" s="132" t="str">
        <f>IF(AND($A49&gt;='Auswertung 2-Schicht'!J$3,$A49&lt;='Auswertung 2-Schicht'!J$4),Berechnung!L48,"")</f>
        <v/>
      </c>
      <c r="J49" s="118" t="str">
        <f>IF(AND($A49&gt;='Auswertung 2-Schicht'!K$3,$A49&lt;='Auswertung 2-Schicht'!K$4),Berechnung!P48,"")</f>
        <v/>
      </c>
      <c r="K49" s="134" t="str">
        <f>IF(AND($A49&gt;='Auswertung 2-Schicht'!L$3,$A49&lt;='Auswertung 2-Schicht'!L$4),Berechnung!Q48,"")</f>
        <v/>
      </c>
      <c r="L49" s="131">
        <f>IF('Auswertung 2-Schicht'!$H$8=1,Berechnung!I48,IF('Auswertung 2-Schicht'!$H$8=2,Berechnung!N48,Berechnung!S48))</f>
        <v>178.15974607786023</v>
      </c>
      <c r="M49" s="133">
        <f>IF('Auswertung 2-Schicht'!$H$8=1,Berechnung!J48,IF('Auswertung 2-Schicht'!$H$8=2,Berechnung!O48,Berechnung!T48))</f>
        <v>11.923393887036895</v>
      </c>
      <c r="N49" s="82">
        <f t="shared" si="34"/>
        <v>-999</v>
      </c>
      <c r="O49" s="42">
        <f t="shared" si="35"/>
        <v>13.619920389877933</v>
      </c>
      <c r="P49" s="83">
        <f t="shared" si="36"/>
        <v>-999</v>
      </c>
      <c r="Q49" s="82">
        <f t="shared" si="37"/>
        <v>-999</v>
      </c>
      <c r="R49" s="42">
        <f t="shared" si="38"/>
        <v>-999</v>
      </c>
      <c r="S49" s="42">
        <f t="shared" si="39"/>
        <v>-999</v>
      </c>
      <c r="T49" s="42">
        <f t="shared" si="40"/>
        <v>-999</v>
      </c>
      <c r="U49" s="42">
        <f t="shared" si="41"/>
        <v>-999</v>
      </c>
      <c r="V49" s="109">
        <f t="shared" si="42"/>
        <v>-999</v>
      </c>
      <c r="W49" s="120" t="str">
        <f>IF(AND($A49&gt;='Auswertung 3-Schicht'!D$3,$A49&lt;='Auswertung 3-Schicht'!D$4),Berechnung!C48,"")</f>
        <v/>
      </c>
      <c r="X49" s="118" t="str">
        <f>IF(AND($A49&gt;='Auswertung 3-Schicht'!E$3,$A49&lt;='Auswertung 3-Schicht'!E$4),Berechnung!D48,"")</f>
        <v/>
      </c>
      <c r="Y49" s="118">
        <f>IF(AND($A49&gt;='Auswertung 3-Schicht'!F$3,$A49&lt;='Auswertung 3-Schicht'!F$4),Berechnung!E48,"")</f>
        <v>14.732875285030337</v>
      </c>
      <c r="Z49" s="132" t="str">
        <f>IF(AND($A49&gt;='Auswertung 3-Schicht'!G$3,$A49&lt;='Auswertung 3-Schicht'!G$4),Berechnung!F48,"")</f>
        <v/>
      </c>
      <c r="AA49" s="118" t="str">
        <f>IF(AND($A49&gt;='Auswertung 3-Schicht'!H$3,$A49&lt;='Auswertung 3-Schicht'!H$4),Berechnung!K48,"")</f>
        <v/>
      </c>
      <c r="AB49" s="134" t="str">
        <f>IF(AND($A49&gt;='Auswertung 3-Schicht'!I$3,$A49&lt;='Auswertung 3-Schicht'!I$4),Berechnung!L48,"")</f>
        <v/>
      </c>
      <c r="AC49" s="118" t="str">
        <f>IF(AND($A49&gt;='Auswertung 3-Schicht'!J$3,$A49&lt;='Auswertung 3-Schicht'!J$4),Berechnung!P48,"")</f>
        <v/>
      </c>
      <c r="AD49" s="121" t="str">
        <f>IF(AND($A49&gt;='Auswertung 3-Schicht'!K$3,$A49&lt;='Auswertung 3-Schicht'!K$4),Berechnung!Q48,"")</f>
        <v/>
      </c>
      <c r="AE49" s="136" t="str">
        <f>IF(AND($A49&gt;='Auswertung 3-Schicht'!D$6,$A49&lt;='Auswertung 3-Schicht'!D$7),Berechnung!C48,"")</f>
        <v/>
      </c>
      <c r="AF49" s="118" t="str">
        <f>IF(AND($A49&gt;='Auswertung 3-Schicht'!E$6,$A49&lt;='Auswertung 3-Schicht'!E$7),Berechnung!D48,"")</f>
        <v/>
      </c>
      <c r="AG49" s="118" t="str">
        <f>IF(AND($A49&gt;='Auswertung 3-Schicht'!F$6,$A49&lt;='Auswertung 3-Schicht'!F$7),Berechnung!E48,"")</f>
        <v/>
      </c>
      <c r="AH49" s="118" t="str">
        <f>IF(AND($A49&gt;='Auswertung 3-Schicht'!G$6,$A49&lt;='Auswertung 3-Schicht'!G$7),Berechnung!F48,"")</f>
        <v/>
      </c>
      <c r="AI49" s="118" t="str">
        <f>IF(AND($A49&gt;='Auswertung 3-Schicht'!H$6,$A49&lt;='Auswertung 3-Schicht'!H$7),Berechnung!K48,"")</f>
        <v/>
      </c>
      <c r="AJ49" s="118" t="str">
        <f>IF(AND($A49&gt;='Auswertung 3-Schicht'!I$6,$A49&lt;='Auswertung 3-Schicht'!I$7),Berechnung!L48,"")</f>
        <v/>
      </c>
      <c r="AK49" s="118" t="str">
        <f>IF(AND($A49&gt;='Auswertung 3-Schicht'!J$6,$A49&lt;='Auswertung 3-Schicht'!J$7),Berechnung!P48,"")</f>
        <v/>
      </c>
      <c r="AL49" s="118" t="str">
        <f>IF(AND($A49&gt;='Auswertung 3-Schicht'!K$6,$A49&lt;='Auswertung 3-Schicht'!K$7),Berechnung!Q48,"")</f>
        <v/>
      </c>
      <c r="AM49" s="120" t="str">
        <f>IF(AND($A49&gt;='Auswertung 3-Schicht'!D$10,$A49&lt;='Auswertung 3-Schicht'!D$11),Berechnung!C48,"")</f>
        <v/>
      </c>
      <c r="AN49" s="118">
        <f>IF(AND($A49&gt;='Auswertung 3-Schicht'!E$10,$A49&lt;='Auswertung 3-Schicht'!E$11),Berechnung!D48,"")</f>
        <v>69.293375801382254</v>
      </c>
      <c r="AO49" s="118" t="str">
        <f>IF(AND($A49&gt;='Auswertung 3-Schicht'!F$10,$A49&lt;='Auswertung 3-Schicht'!F$11),Berechnung!E48,"")</f>
        <v/>
      </c>
      <c r="AP49" s="118">
        <f>IF(AND($A49&gt;='Auswertung 3-Schicht'!G$10,$A49&lt;='Auswertung 3-Schicht'!G$11),Berechnung!F48,"")</f>
        <v>98.395084585578303</v>
      </c>
      <c r="AQ49" s="118" t="str">
        <f>IF(AND($A49&gt;='Auswertung 3-Schicht'!H$10,$A49&lt;='Auswertung 3-Schicht'!H$11),Berechnung!K48,"")</f>
        <v/>
      </c>
      <c r="AR49" s="118" t="str">
        <f>IF(AND($A49&gt;='Auswertung 3-Schicht'!I$10,$A49&lt;='Auswertung 3-Schicht'!I$11),Berechnung!L48,"")</f>
        <v/>
      </c>
      <c r="AS49" s="118" t="str">
        <f>IF(AND($A49&gt;='Auswertung 3-Schicht'!J$10,$A49&lt;='Auswertung 3-Schicht'!J$11),Berechnung!P48,"")</f>
        <v/>
      </c>
      <c r="AT49" s="118" t="str">
        <f>IF(AND($A49&gt;='Auswertung 3-Schicht'!K$10,$A49&lt;='Auswertung 3-Schicht'!K$11),Berechnung!Q48,"")</f>
        <v/>
      </c>
      <c r="AU49" s="82">
        <f t="shared" si="11"/>
        <v>-999</v>
      </c>
      <c r="AV49" s="42">
        <f t="shared" si="12"/>
        <v>14.732875285030337</v>
      </c>
      <c r="AW49" s="79">
        <f t="shared" si="13"/>
        <v>-999</v>
      </c>
      <c r="AX49" s="79">
        <f t="shared" si="14"/>
        <v>-999</v>
      </c>
      <c r="AY49" s="79">
        <f t="shared" si="15"/>
        <v>-999</v>
      </c>
      <c r="AZ49" s="42">
        <f t="shared" si="16"/>
        <v>-999</v>
      </c>
      <c r="BA49" s="83">
        <f t="shared" si="17"/>
        <v>-999</v>
      </c>
      <c r="BB49" s="80">
        <f t="shared" si="18"/>
        <v>-999</v>
      </c>
      <c r="BC49" s="42">
        <f t="shared" si="19"/>
        <v>-999</v>
      </c>
      <c r="BD49" s="42">
        <f t="shared" si="20"/>
        <v>-999</v>
      </c>
      <c r="BE49" s="42">
        <f t="shared" si="21"/>
        <v>-999</v>
      </c>
      <c r="BF49" s="42">
        <f t="shared" si="22"/>
        <v>-999</v>
      </c>
      <c r="BG49" s="42">
        <f t="shared" si="23"/>
        <v>-999</v>
      </c>
      <c r="BH49" s="83">
        <f t="shared" si="24"/>
        <v>-999</v>
      </c>
      <c r="BI49" s="82">
        <f t="shared" si="25"/>
        <v>69.293375801382254</v>
      </c>
      <c r="BJ49" s="42">
        <f t="shared" si="26"/>
        <v>-999</v>
      </c>
      <c r="BK49" s="42">
        <f t="shared" si="27"/>
        <v>98.395084585578303</v>
      </c>
      <c r="BL49" s="42">
        <f t="shared" si="28"/>
        <v>-999</v>
      </c>
      <c r="BM49" s="42">
        <f t="shared" si="29"/>
        <v>-999</v>
      </c>
      <c r="BN49" s="42">
        <f t="shared" si="30"/>
        <v>-999</v>
      </c>
      <c r="BO49" s="83">
        <f t="shared" si="31"/>
        <v>-999</v>
      </c>
      <c r="BP49" s="80">
        <f>IF('Auswertung 2-Schicht'!O$4="",-999,MIN(1000*SQRT((A49+1)^2+AVERAGE(T0_Korrektur!D$1,T0_Korrektur!F$1,T0_Korrektur!H$1)^2)/'Auswertung 2-Schicht'!$O$4,'Auswertung 2-Schicht'!$O$8+1000*SQRT((A49+1)^2+AVERAGE(T0_Korrektur!D$1,T0_Korrektur!F$1,T0_Korrektur!H$1)^2)/'Auswertung 2-Schicht'!$O$7))</f>
        <v>110.74881333965595</v>
      </c>
      <c r="BQ49" s="83">
        <f>IF('Auswertung 3-Schicht'!N$4="",-999,IF('Auswertung 3-Schicht'!N$8="",MIN(1000*SQRT((A49+1)^2+AVERAGE(T0_Korrektur!D$1,T0_Korrektur!F$1,T0_Korrektur!H$1)^2)/'Auswertung 3-Schicht'!N$4,'Auswertung 3-Schicht'!N$6+1000*SQRT((A49+1)^2+AVERAGE(T0_Korrektur!D$1,T0_Korrektur!F$1,T0_Korrektur!H$1)^2)/'Auswertung 3-Schicht'!N$5),MIN(1000*SQRT((A49+1)^2+AVERAGE(T0_Korrektur!D$1,T0_Korrektur!F$1,T0_Korrektur!H$1)^2)/'Auswertung 3-Schicht'!N$4,'Auswertung 3-Schicht'!N$6+1000*SQRT((A49+1)^2+AVERAGE(T0_Korrektur!D$1,T0_Korrektur!F$1,T0_Korrektur!H$1)^2)/'Auswertung 3-Schicht'!N$5,'Auswertung 3-Schicht'!N$9+1000*SQRT((A49+1)^2+AVERAGE(T0_Korrektur!D$1,T0_Korrektur!F$1,T0_Korrektur!H$1)^2)/'Auswertung 3-Schicht'!N$8)))</f>
        <v>99.053248802868694</v>
      </c>
      <c r="BR49" s="82">
        <f>ABS(T0_Korrektur!C48)</f>
        <v>91.265834242612385</v>
      </c>
      <c r="BS49" s="42">
        <f>ABS(T0_Korrektur!E48)</f>
        <v>7.6687678280151372</v>
      </c>
      <c r="BT49" s="42">
        <f>ABS(T0_Korrektur!I48)</f>
        <v>999</v>
      </c>
      <c r="BU49" s="79">
        <f>ABS(T0_Korrektur!M48)</f>
        <v>999</v>
      </c>
      <c r="BV49" s="120">
        <f>IF(T0_Korrektur!H48="","",T0_Korrektur!H48-Hilfsdaten!BP49)</f>
        <v>-12.34931333965595</v>
      </c>
      <c r="BW49" s="118"/>
      <c r="BX49" s="118"/>
      <c r="BY49" s="118">
        <f>IF(T0_Korrektur!F11="","",T0_Korrektur!F11-Hilfsdaten!BP49)</f>
        <v>-18.210113339655948</v>
      </c>
      <c r="BZ49" s="120">
        <f>IF(T0_Korrektur!H48="","",T0_Korrektur!H48-Hilfsdaten!BQ49)</f>
        <v>-0.65374880286869086</v>
      </c>
      <c r="CA49" s="118"/>
      <c r="CB49" s="118"/>
      <c r="CC49" s="121">
        <f>IF(T0_Korrektur!F11="","",T0_Korrektur!F11-Hilfsdaten!BQ49)</f>
        <v>-6.5145488028686884</v>
      </c>
    </row>
    <row r="50" spans="1:81" x14ac:dyDescent="0.2">
      <c r="A50" s="130">
        <f>'Picks importieren'!B50</f>
        <v>190</v>
      </c>
      <c r="B50" s="120" t="str">
        <f>IF(AND($A50&gt;='Auswertung 2-Schicht'!C$3,$A50&lt;='Auswertung 2-Schicht'!C$4),Berechnung!C49,"")</f>
        <v/>
      </c>
      <c r="C50" s="118" t="str">
        <f>IF(AND($A50&gt;='Auswertung 2-Schicht'!D$3,$A50&lt;='Auswertung 2-Schicht'!D$4),Berechnung!D49,"")</f>
        <v/>
      </c>
      <c r="D50" s="118">
        <f>IF(AND($A50&gt;='Auswertung 2-Schicht'!E$3,$A50&lt;='Auswertung 2-Schicht'!E$4),Berechnung!G49,"")</f>
        <v>9.1461770488198368</v>
      </c>
      <c r="E50" s="121" t="str">
        <f>IF(AND($A50&gt;='Auswertung 2-Schicht'!F$3,$A50&lt;='Auswertung 2-Schicht'!F$4),Berechnung!F49,"")</f>
        <v/>
      </c>
      <c r="F50" s="131" t="str">
        <f>IF(AND($A50&gt;='Auswertung 2-Schicht'!H$3,$A50&lt;='Auswertung 2-Schicht'!H$4),IF('Auswertung 2-Schicht'!$H$8=1,Berechnung!I49,IF('Auswertung 2-Schicht'!$H$8=2,Berechnung!N49,Berechnung!S49)),"")</f>
        <v/>
      </c>
      <c r="G50" s="118" t="str">
        <f>IF(AND($A50&gt;='Auswertung 2-Schicht'!H$3,$A50&lt;='Auswertung 2-Schicht'!H$4),IF('Auswertung 2-Schicht'!$H$8=1,Berechnung!J49,IF('Auswertung 2-Schicht'!$H$8=2,Berechnung!O49,Berechnung!T49)),"")</f>
        <v/>
      </c>
      <c r="H50" s="118" t="str">
        <f>IF(AND($A50&gt;='Auswertung 2-Schicht'!I$3,$A50&lt;='Auswertung 2-Schicht'!I$4),Berechnung!K49,"")</f>
        <v/>
      </c>
      <c r="I50" s="132" t="str">
        <f>IF(AND($A50&gt;='Auswertung 2-Schicht'!J$3,$A50&lt;='Auswertung 2-Schicht'!J$4),Berechnung!L49,"")</f>
        <v/>
      </c>
      <c r="J50" s="118" t="str">
        <f>IF(AND($A50&gt;='Auswertung 2-Schicht'!K$3,$A50&lt;='Auswertung 2-Schicht'!K$4),Berechnung!P49,"")</f>
        <v/>
      </c>
      <c r="K50" s="134" t="str">
        <f>IF(AND($A50&gt;='Auswertung 2-Schicht'!L$3,$A50&lt;='Auswertung 2-Schicht'!L$4),Berechnung!Q49,"")</f>
        <v/>
      </c>
      <c r="L50" s="131">
        <f>IF('Auswertung 2-Schicht'!$H$8=1,Berechnung!I49,IF('Auswertung 2-Schicht'!$H$8=2,Berechnung!N49,Berechnung!S49))</f>
        <v>183.14578096227723</v>
      </c>
      <c r="M50" s="133">
        <f>IF('Auswertung 2-Schicht'!$H$8=1,Berechnung!J49,IF('Auswertung 2-Schicht'!$H$8=2,Berechnung!O49,Berechnung!T49))</f>
        <v>7.9619420893377111</v>
      </c>
      <c r="N50" s="82">
        <f t="shared" si="34"/>
        <v>-999</v>
      </c>
      <c r="O50" s="42">
        <f t="shared" si="35"/>
        <v>9.1461770488198368</v>
      </c>
      <c r="P50" s="83">
        <f t="shared" si="36"/>
        <v>-999</v>
      </c>
      <c r="Q50" s="82">
        <f t="shared" si="37"/>
        <v>-999</v>
      </c>
      <c r="R50" s="42">
        <f t="shared" si="38"/>
        <v>-999</v>
      </c>
      <c r="S50" s="42">
        <f t="shared" si="39"/>
        <v>-999</v>
      </c>
      <c r="T50" s="42">
        <f t="shared" si="40"/>
        <v>-999</v>
      </c>
      <c r="U50" s="42">
        <f t="shared" si="41"/>
        <v>-999</v>
      </c>
      <c r="V50" s="109">
        <f t="shared" si="42"/>
        <v>-999</v>
      </c>
      <c r="W50" s="120" t="str">
        <f>IF(AND($A50&gt;='Auswertung 3-Schicht'!D$3,$A50&lt;='Auswertung 3-Schicht'!D$4),Berechnung!C49,"")</f>
        <v/>
      </c>
      <c r="X50" s="118" t="str">
        <f>IF(AND($A50&gt;='Auswertung 3-Schicht'!E$3,$A50&lt;='Auswertung 3-Schicht'!E$4),Berechnung!D49,"")</f>
        <v/>
      </c>
      <c r="Y50" s="118">
        <f>IF(AND($A50&gt;='Auswertung 3-Schicht'!F$3,$A50&lt;='Auswertung 3-Schicht'!F$4),Berechnung!E49,"")</f>
        <v>10.259131943972239</v>
      </c>
      <c r="Z50" s="132" t="str">
        <f>IF(AND($A50&gt;='Auswertung 3-Schicht'!G$3,$A50&lt;='Auswertung 3-Schicht'!G$4),Berechnung!F49,"")</f>
        <v/>
      </c>
      <c r="AA50" s="118" t="str">
        <f>IF(AND($A50&gt;='Auswertung 3-Schicht'!H$3,$A50&lt;='Auswertung 3-Schicht'!H$4),Berechnung!K49,"")</f>
        <v/>
      </c>
      <c r="AB50" s="134" t="str">
        <f>IF(AND($A50&gt;='Auswertung 3-Schicht'!I$3,$A50&lt;='Auswertung 3-Schicht'!I$4),Berechnung!L49,"")</f>
        <v/>
      </c>
      <c r="AC50" s="118" t="str">
        <f>IF(AND($A50&gt;='Auswertung 3-Schicht'!J$3,$A50&lt;='Auswertung 3-Schicht'!J$4),Berechnung!P49,"")</f>
        <v/>
      </c>
      <c r="AD50" s="121" t="str">
        <f>IF(AND($A50&gt;='Auswertung 3-Schicht'!K$3,$A50&lt;='Auswertung 3-Schicht'!K$4),Berechnung!Q49,"")</f>
        <v/>
      </c>
      <c r="AE50" s="136" t="str">
        <f>IF(AND($A50&gt;='Auswertung 3-Schicht'!D$6,$A50&lt;='Auswertung 3-Schicht'!D$7),Berechnung!C49,"")</f>
        <v/>
      </c>
      <c r="AF50" s="118" t="str">
        <f>IF(AND($A50&gt;='Auswertung 3-Schicht'!E$6,$A50&lt;='Auswertung 3-Schicht'!E$7),Berechnung!D49,"")</f>
        <v/>
      </c>
      <c r="AG50" s="118" t="str">
        <f>IF(AND($A50&gt;='Auswertung 3-Schicht'!F$6,$A50&lt;='Auswertung 3-Schicht'!F$7),Berechnung!E49,"")</f>
        <v/>
      </c>
      <c r="AH50" s="118" t="str">
        <f>IF(AND($A50&gt;='Auswertung 3-Schicht'!G$6,$A50&lt;='Auswertung 3-Schicht'!G$7),Berechnung!F49,"")</f>
        <v/>
      </c>
      <c r="AI50" s="118" t="str">
        <f>IF(AND($A50&gt;='Auswertung 3-Schicht'!H$6,$A50&lt;='Auswertung 3-Schicht'!H$7),Berechnung!K49,"")</f>
        <v/>
      </c>
      <c r="AJ50" s="118" t="str">
        <f>IF(AND($A50&gt;='Auswertung 3-Schicht'!I$6,$A50&lt;='Auswertung 3-Schicht'!I$7),Berechnung!L49,"")</f>
        <v/>
      </c>
      <c r="AK50" s="118" t="str">
        <f>IF(AND($A50&gt;='Auswertung 3-Schicht'!J$6,$A50&lt;='Auswertung 3-Schicht'!J$7),Berechnung!P49,"")</f>
        <v/>
      </c>
      <c r="AL50" s="118" t="str">
        <f>IF(AND($A50&gt;='Auswertung 3-Schicht'!K$6,$A50&lt;='Auswertung 3-Schicht'!K$7),Berechnung!Q49,"")</f>
        <v/>
      </c>
      <c r="AM50" s="120" t="str">
        <f>IF(AND($A50&gt;='Auswertung 3-Schicht'!D$10,$A50&lt;='Auswertung 3-Schicht'!D$11),Berechnung!C49,"")</f>
        <v/>
      </c>
      <c r="AN50" s="118">
        <f>IF(AND($A50&gt;='Auswertung 3-Schicht'!E$10,$A50&lt;='Auswertung 3-Schicht'!E$11),Berechnung!D49,"")</f>
        <v>70.245651939639203</v>
      </c>
      <c r="AO50" s="118" t="str">
        <f>IF(AND($A50&gt;='Auswertung 3-Schicht'!F$10,$A50&lt;='Auswertung 3-Schicht'!F$11),Berechnung!E49,"")</f>
        <v/>
      </c>
      <c r="AP50" s="118">
        <f>IF(AND($A50&gt;='Auswertung 3-Schicht'!G$10,$A50&lt;='Auswertung 3-Schicht'!G$11),Berechnung!F49,"")</f>
        <v>98.907376128937216</v>
      </c>
      <c r="AQ50" s="118" t="str">
        <f>IF(AND($A50&gt;='Auswertung 3-Schicht'!H$10,$A50&lt;='Auswertung 3-Schicht'!H$11),Berechnung!K49,"")</f>
        <v/>
      </c>
      <c r="AR50" s="118" t="str">
        <f>IF(AND($A50&gt;='Auswertung 3-Schicht'!I$10,$A50&lt;='Auswertung 3-Schicht'!I$11),Berechnung!L49,"")</f>
        <v/>
      </c>
      <c r="AS50" s="118" t="str">
        <f>IF(AND($A50&gt;='Auswertung 3-Schicht'!J$10,$A50&lt;='Auswertung 3-Schicht'!J$11),Berechnung!P49,"")</f>
        <v/>
      </c>
      <c r="AT50" s="118" t="str">
        <f>IF(AND($A50&gt;='Auswertung 3-Schicht'!K$10,$A50&lt;='Auswertung 3-Schicht'!K$11),Berechnung!Q49,"")</f>
        <v/>
      </c>
      <c r="AU50" s="82">
        <f t="shared" si="11"/>
        <v>-999</v>
      </c>
      <c r="AV50" s="42">
        <f t="shared" si="12"/>
        <v>10.259131943972239</v>
      </c>
      <c r="AW50" s="79">
        <f t="shared" si="13"/>
        <v>-999</v>
      </c>
      <c r="AX50" s="79">
        <f t="shared" si="14"/>
        <v>-999</v>
      </c>
      <c r="AY50" s="79">
        <f t="shared" si="15"/>
        <v>-999</v>
      </c>
      <c r="AZ50" s="42">
        <f t="shared" si="16"/>
        <v>-999</v>
      </c>
      <c r="BA50" s="83">
        <f t="shared" si="17"/>
        <v>-999</v>
      </c>
      <c r="BB50" s="80">
        <f t="shared" si="18"/>
        <v>-999</v>
      </c>
      <c r="BC50" s="42">
        <f t="shared" si="19"/>
        <v>-999</v>
      </c>
      <c r="BD50" s="42">
        <f t="shared" si="20"/>
        <v>-999</v>
      </c>
      <c r="BE50" s="42">
        <f t="shared" si="21"/>
        <v>-999</v>
      </c>
      <c r="BF50" s="42">
        <f t="shared" si="22"/>
        <v>-999</v>
      </c>
      <c r="BG50" s="42">
        <f t="shared" si="23"/>
        <v>-999</v>
      </c>
      <c r="BH50" s="83">
        <f t="shared" si="24"/>
        <v>-999</v>
      </c>
      <c r="BI50" s="82">
        <f t="shared" si="25"/>
        <v>70.245651939639203</v>
      </c>
      <c r="BJ50" s="42">
        <f t="shared" si="26"/>
        <v>-999</v>
      </c>
      <c r="BK50" s="42">
        <f t="shared" si="27"/>
        <v>98.907376128937216</v>
      </c>
      <c r="BL50" s="42">
        <f t="shared" si="28"/>
        <v>-999</v>
      </c>
      <c r="BM50" s="42">
        <f t="shared" si="29"/>
        <v>-999</v>
      </c>
      <c r="BN50" s="42">
        <f t="shared" si="30"/>
        <v>-999</v>
      </c>
      <c r="BO50" s="83">
        <f t="shared" si="31"/>
        <v>-999</v>
      </c>
      <c r="BP50" s="80">
        <f>IF('Auswertung 2-Schicht'!O$4="",-999,MIN(1000*SQRT((A50+1)^2+AVERAGE(T0_Korrektur!D$1,T0_Korrektur!F$1,T0_Korrektur!H$1)^2)/'Auswertung 2-Schicht'!$O$4,'Auswertung 2-Schicht'!$O$8+1000*SQRT((A50+1)^2+AVERAGE(T0_Korrektur!D$1,T0_Korrektur!F$1,T0_Korrektur!H$1)^2)/'Auswertung 2-Schicht'!$O$7))</f>
        <v>111.72530693460558</v>
      </c>
      <c r="BQ50" s="83">
        <f>IF('Auswertung 3-Schicht'!N$4="",-999,IF('Auswertung 3-Schicht'!N$8="",MIN(1000*SQRT((A50+1)^2+AVERAGE(T0_Korrektur!D$1,T0_Korrektur!F$1,T0_Korrektur!H$1)^2)/'Auswertung 3-Schicht'!N$4,'Auswertung 3-Schicht'!N$6+1000*SQRT((A50+1)^2+AVERAGE(T0_Korrektur!D$1,T0_Korrektur!F$1,T0_Korrektur!H$1)^2)/'Auswertung 3-Schicht'!N$5),MIN(1000*SQRT((A50+1)^2+AVERAGE(T0_Korrektur!D$1,T0_Korrektur!F$1,T0_Korrektur!H$1)^2)/'Auswertung 3-Schicht'!N$4,'Auswertung 3-Schicht'!N$6+1000*SQRT((A50+1)^2+AVERAGE(T0_Korrektur!D$1,T0_Korrektur!F$1,T0_Korrektur!H$1)^2)/'Auswertung 3-Schicht'!N$5,'Auswertung 3-Schicht'!N$9+1000*SQRT((A50+1)^2+AVERAGE(T0_Korrektur!D$1,T0_Korrektur!F$1,T0_Korrektur!H$1)^2)/'Auswertung 3-Schicht'!N$8)))</f>
        <v>99.818212625421367</v>
      </c>
      <c r="BR50" s="82">
        <f>ABS(T0_Korrektur!C49)</f>
        <v>93.765412066497092</v>
      </c>
      <c r="BS50" s="42">
        <f>ABS(T0_Korrektur!E49)</f>
        <v>5.2497618993626753</v>
      </c>
      <c r="BT50" s="42">
        <f>ABS(T0_Korrektur!I49)</f>
        <v>999</v>
      </c>
      <c r="BU50" s="79">
        <f>ABS(T0_Korrektur!M49)</f>
        <v>999</v>
      </c>
      <c r="BV50" s="120">
        <f>IF(T0_Korrektur!H49="","",T0_Korrektur!H49-Hilfsdaten!BP50)</f>
        <v>-12.813606934605588</v>
      </c>
      <c r="BW50" s="118"/>
      <c r="BX50" s="118"/>
      <c r="BY50" s="118">
        <f>IF(T0_Korrektur!F10="","",T0_Korrektur!F10-Hilfsdaten!BP50)</f>
        <v>-17.346806934605581</v>
      </c>
      <c r="BZ50" s="120">
        <f>IF(T0_Korrektur!H49="","",T0_Korrektur!H49-Hilfsdaten!BQ50)</f>
        <v>-0.9065126254213709</v>
      </c>
      <c r="CA50" s="118"/>
      <c r="CB50" s="118"/>
      <c r="CC50" s="121">
        <f>IF(T0_Korrektur!F10="","",T0_Korrektur!F10-Hilfsdaten!BQ50)</f>
        <v>-5.4397126254213646</v>
      </c>
    </row>
    <row r="51" spans="1:81" x14ac:dyDescent="0.2">
      <c r="A51" s="130">
        <f>'Picks importieren'!B51</f>
        <v>192.5</v>
      </c>
      <c r="B51" s="120" t="str">
        <f>IF(AND($A51&gt;='Auswertung 2-Schicht'!C$3,$A51&lt;='Auswertung 2-Schicht'!C$4),Berechnung!C50,"")</f>
        <v/>
      </c>
      <c r="C51" s="118" t="str">
        <f>IF(AND($A51&gt;='Auswertung 2-Schicht'!D$3,$A51&lt;='Auswertung 2-Schicht'!D$4),Berechnung!D50,"")</f>
        <v/>
      </c>
      <c r="D51" s="118">
        <f>IF(AND($A51&gt;='Auswertung 2-Schicht'!E$3,$A51&lt;='Auswertung 2-Schicht'!E$4),Berechnung!G50,"")</f>
        <v>3.4831348385493186</v>
      </c>
      <c r="E51" s="121" t="str">
        <f>IF(AND($A51&gt;='Auswertung 2-Schicht'!F$3,$A51&lt;='Auswertung 2-Schicht'!F$4),Berechnung!F50,"")</f>
        <v/>
      </c>
      <c r="F51" s="131" t="str">
        <f>IF(AND($A51&gt;='Auswertung 2-Schicht'!H$3,$A51&lt;='Auswertung 2-Schicht'!H$4),IF('Auswertung 2-Schicht'!$H$8=1,Berechnung!I50,IF('Auswertung 2-Schicht'!$H$8=2,Berechnung!N50,Berechnung!S50)),"")</f>
        <v/>
      </c>
      <c r="G51" s="118" t="str">
        <f>IF(AND($A51&gt;='Auswertung 2-Schicht'!H$3,$A51&lt;='Auswertung 2-Schicht'!H$4),IF('Auswertung 2-Schicht'!$H$8=1,Berechnung!J50,IF('Auswertung 2-Schicht'!$H$8=2,Berechnung!O50,Berechnung!T50)),"")</f>
        <v/>
      </c>
      <c r="H51" s="118" t="str">
        <f>IF(AND($A51&gt;='Auswertung 2-Schicht'!I$3,$A51&lt;='Auswertung 2-Schicht'!I$4),Berechnung!K50,"")</f>
        <v/>
      </c>
      <c r="I51" s="132" t="str">
        <f>IF(AND($A51&gt;='Auswertung 2-Schicht'!J$3,$A51&lt;='Auswertung 2-Schicht'!J$4),Berechnung!L50,"")</f>
        <v/>
      </c>
      <c r="J51" s="118" t="str">
        <f>IF(AND($A51&gt;='Auswertung 2-Schicht'!K$3,$A51&lt;='Auswertung 2-Schicht'!K$4),Berechnung!P50,"")</f>
        <v/>
      </c>
      <c r="K51" s="134" t="str">
        <f>IF(AND($A51&gt;='Auswertung 2-Schicht'!L$3,$A51&lt;='Auswertung 2-Schicht'!L$4),Berechnung!Q50,"")</f>
        <v/>
      </c>
      <c r="L51" s="131">
        <f>IF('Auswertung 2-Schicht'!$H$8=1,Berechnung!I50,IF('Auswertung 2-Schicht'!$H$8=2,Berechnung!N50,Berechnung!S50))</f>
        <v>189.70509514444004</v>
      </c>
      <c r="M51" s="133">
        <f>IF('Auswertung 2-Schicht'!$H$8=1,Berechnung!J50,IF('Auswertung 2-Schicht'!$H$8=2,Berechnung!O50,Berechnung!T50))</f>
        <v>3.1951718509594684</v>
      </c>
      <c r="N51" s="82">
        <f t="shared" si="34"/>
        <v>-999</v>
      </c>
      <c r="O51" s="42">
        <f t="shared" si="35"/>
        <v>3.4831348385493186</v>
      </c>
      <c r="P51" s="83">
        <f t="shared" si="36"/>
        <v>-999</v>
      </c>
      <c r="Q51" s="82">
        <f t="shared" si="37"/>
        <v>-999</v>
      </c>
      <c r="R51" s="42">
        <f t="shared" si="38"/>
        <v>-999</v>
      </c>
      <c r="S51" s="42">
        <f t="shared" si="39"/>
        <v>-999</v>
      </c>
      <c r="T51" s="42">
        <f t="shared" si="40"/>
        <v>-999</v>
      </c>
      <c r="U51" s="42">
        <f t="shared" si="41"/>
        <v>-999</v>
      </c>
      <c r="V51" s="109">
        <f t="shared" si="42"/>
        <v>-999</v>
      </c>
      <c r="W51" s="120" t="str">
        <f>IF(AND($A51&gt;='Auswertung 3-Schicht'!D$3,$A51&lt;='Auswertung 3-Schicht'!D$4),Berechnung!C50,"")</f>
        <v/>
      </c>
      <c r="X51" s="118" t="str">
        <f>IF(AND($A51&gt;='Auswertung 3-Schicht'!E$3,$A51&lt;='Auswertung 3-Schicht'!E$4),Berechnung!D50,"")</f>
        <v/>
      </c>
      <c r="Y51" s="118">
        <f>IF(AND($A51&gt;='Auswertung 3-Schicht'!F$3,$A51&lt;='Auswertung 3-Schicht'!F$4),Berechnung!E50,"")</f>
        <v>4.5960897337017226</v>
      </c>
      <c r="Z51" s="132" t="str">
        <f>IF(AND($A51&gt;='Auswertung 3-Schicht'!G$3,$A51&lt;='Auswertung 3-Schicht'!G$4),Berechnung!F50,"")</f>
        <v/>
      </c>
      <c r="AA51" s="118" t="str">
        <f>IF(AND($A51&gt;='Auswertung 3-Schicht'!H$3,$A51&lt;='Auswertung 3-Schicht'!H$4),Berechnung!K50,"")</f>
        <v/>
      </c>
      <c r="AB51" s="134" t="str">
        <f>IF(AND($A51&gt;='Auswertung 3-Schicht'!I$3,$A51&lt;='Auswertung 3-Schicht'!I$4),Berechnung!L50,"")</f>
        <v/>
      </c>
      <c r="AC51" s="118" t="str">
        <f>IF(AND($A51&gt;='Auswertung 3-Schicht'!J$3,$A51&lt;='Auswertung 3-Schicht'!J$4),Berechnung!P50,"")</f>
        <v/>
      </c>
      <c r="AD51" s="121" t="str">
        <f>IF(AND($A51&gt;='Auswertung 3-Schicht'!K$3,$A51&lt;='Auswertung 3-Schicht'!K$4),Berechnung!Q50,"")</f>
        <v/>
      </c>
      <c r="AE51" s="136" t="str">
        <f>IF(AND($A51&gt;='Auswertung 3-Schicht'!D$6,$A51&lt;='Auswertung 3-Schicht'!D$7),Berechnung!C50,"")</f>
        <v/>
      </c>
      <c r="AF51" s="118" t="str">
        <f>IF(AND($A51&gt;='Auswertung 3-Schicht'!E$6,$A51&lt;='Auswertung 3-Schicht'!E$7),Berechnung!D50,"")</f>
        <v/>
      </c>
      <c r="AG51" s="118" t="str">
        <f>IF(AND($A51&gt;='Auswertung 3-Schicht'!F$6,$A51&lt;='Auswertung 3-Schicht'!F$7),Berechnung!E50,"")</f>
        <v/>
      </c>
      <c r="AH51" s="118" t="str">
        <f>IF(AND($A51&gt;='Auswertung 3-Schicht'!G$6,$A51&lt;='Auswertung 3-Schicht'!G$7),Berechnung!F50,"")</f>
        <v/>
      </c>
      <c r="AI51" s="118" t="str">
        <f>IF(AND($A51&gt;='Auswertung 3-Schicht'!H$6,$A51&lt;='Auswertung 3-Schicht'!H$7),Berechnung!K50,"")</f>
        <v/>
      </c>
      <c r="AJ51" s="118" t="str">
        <f>IF(AND($A51&gt;='Auswertung 3-Schicht'!I$6,$A51&lt;='Auswertung 3-Schicht'!I$7),Berechnung!L50,"")</f>
        <v/>
      </c>
      <c r="AK51" s="118" t="str">
        <f>IF(AND($A51&gt;='Auswertung 3-Schicht'!J$6,$A51&lt;='Auswertung 3-Schicht'!J$7),Berechnung!P50,"")</f>
        <v/>
      </c>
      <c r="AL51" s="118" t="str">
        <f>IF(AND($A51&gt;='Auswertung 3-Schicht'!K$6,$A51&lt;='Auswertung 3-Schicht'!K$7),Berechnung!Q50,"")</f>
        <v/>
      </c>
      <c r="AM51" s="120" t="str">
        <f>IF(AND($A51&gt;='Auswertung 3-Schicht'!D$10,$A51&lt;='Auswertung 3-Schicht'!D$11),Berechnung!C50,"")</f>
        <v/>
      </c>
      <c r="AN51" s="118">
        <f>IF(AND($A51&gt;='Auswertung 3-Schicht'!E$10,$A51&lt;='Auswertung 3-Schicht'!E$11),Berechnung!D50,"")</f>
        <v>70.655080144554915</v>
      </c>
      <c r="AO51" s="118" t="str">
        <f>IF(AND($A51&gt;='Auswertung 3-Schicht'!F$10,$A51&lt;='Auswertung 3-Schicht'!F$11),Berechnung!E50,"")</f>
        <v/>
      </c>
      <c r="AP51" s="118">
        <f>IF(AND($A51&gt;='Auswertung 3-Schicht'!G$10,$A51&lt;='Auswertung 3-Schicht'!G$11),Berechnung!F50,"")</f>
        <v>99.803648100829491</v>
      </c>
      <c r="AQ51" s="118" t="str">
        <f>IF(AND($A51&gt;='Auswertung 3-Schicht'!H$10,$A51&lt;='Auswertung 3-Schicht'!H$11),Berechnung!K50,"")</f>
        <v/>
      </c>
      <c r="AR51" s="118" t="str">
        <f>IF(AND($A51&gt;='Auswertung 3-Schicht'!I$10,$A51&lt;='Auswertung 3-Schicht'!I$11),Berechnung!L50,"")</f>
        <v/>
      </c>
      <c r="AS51" s="118" t="str">
        <f>IF(AND($A51&gt;='Auswertung 3-Schicht'!J$10,$A51&lt;='Auswertung 3-Schicht'!J$11),Berechnung!P50,"")</f>
        <v/>
      </c>
      <c r="AT51" s="118" t="str">
        <f>IF(AND($A51&gt;='Auswertung 3-Schicht'!K$10,$A51&lt;='Auswertung 3-Schicht'!K$11),Berechnung!Q50,"")</f>
        <v/>
      </c>
      <c r="AU51" s="82">
        <f t="shared" si="11"/>
        <v>-999</v>
      </c>
      <c r="AV51" s="42">
        <f t="shared" si="12"/>
        <v>4.5960897337017226</v>
      </c>
      <c r="AW51" s="79">
        <f t="shared" si="13"/>
        <v>-999</v>
      </c>
      <c r="AX51" s="79">
        <f t="shared" si="14"/>
        <v>-999</v>
      </c>
      <c r="AY51" s="79">
        <f t="shared" si="15"/>
        <v>-999</v>
      </c>
      <c r="AZ51" s="42">
        <f t="shared" si="16"/>
        <v>-999</v>
      </c>
      <c r="BA51" s="83">
        <f t="shared" si="17"/>
        <v>-999</v>
      </c>
      <c r="BB51" s="80">
        <f t="shared" si="18"/>
        <v>-999</v>
      </c>
      <c r="BC51" s="42">
        <f t="shared" si="19"/>
        <v>-999</v>
      </c>
      <c r="BD51" s="42">
        <f t="shared" si="20"/>
        <v>-999</v>
      </c>
      <c r="BE51" s="42">
        <f t="shared" si="21"/>
        <v>-999</v>
      </c>
      <c r="BF51" s="42">
        <f t="shared" si="22"/>
        <v>-999</v>
      </c>
      <c r="BG51" s="42">
        <f t="shared" si="23"/>
        <v>-999</v>
      </c>
      <c r="BH51" s="83">
        <f t="shared" si="24"/>
        <v>-999</v>
      </c>
      <c r="BI51" s="82">
        <f t="shared" si="25"/>
        <v>70.655080144554915</v>
      </c>
      <c r="BJ51" s="42">
        <f t="shared" si="26"/>
        <v>-999</v>
      </c>
      <c r="BK51" s="42">
        <f t="shared" si="27"/>
        <v>99.803648100829491</v>
      </c>
      <c r="BL51" s="42">
        <f t="shared" si="28"/>
        <v>-999</v>
      </c>
      <c r="BM51" s="42">
        <f t="shared" si="29"/>
        <v>-999</v>
      </c>
      <c r="BN51" s="42">
        <f t="shared" si="30"/>
        <v>-999</v>
      </c>
      <c r="BO51" s="83">
        <f t="shared" si="31"/>
        <v>-999</v>
      </c>
      <c r="BP51" s="80">
        <f>IF('Auswertung 2-Schicht'!O$4="",-999,MIN(1000*SQRT((A51+1)^2+AVERAGE(T0_Korrektur!D$1,T0_Korrektur!F$1,T0_Korrektur!H$1)^2)/'Auswertung 2-Schicht'!$O$4,'Auswertung 2-Schicht'!$O$8+1000*SQRT((A51+1)^2+AVERAGE(T0_Korrektur!D$1,T0_Korrektur!F$1,T0_Korrektur!H$1)^2)/'Auswertung 2-Schicht'!$O$7))</f>
        <v>112.70180154217729</v>
      </c>
      <c r="BQ51" s="83">
        <f>IF('Auswertung 3-Schicht'!N$4="",-999,IF('Auswertung 3-Schicht'!N$8="",MIN(1000*SQRT((A51+1)^2+AVERAGE(T0_Korrektur!D$1,T0_Korrektur!F$1,T0_Korrektur!H$1)^2)/'Auswertung 3-Schicht'!N$4,'Auswertung 3-Schicht'!N$6+1000*SQRT((A51+1)^2+AVERAGE(T0_Korrektur!D$1,T0_Korrektur!F$1,T0_Korrektur!H$1)^2)/'Auswertung 3-Schicht'!N$5),MIN(1000*SQRT((A51+1)^2+AVERAGE(T0_Korrektur!D$1,T0_Korrektur!F$1,T0_Korrektur!H$1)^2)/'Auswertung 3-Schicht'!N$4,'Auswertung 3-Schicht'!N$6+1000*SQRT((A51+1)^2+AVERAGE(T0_Korrektur!D$1,T0_Korrektur!F$1,T0_Korrektur!H$1)^2)/'Auswertung 3-Schicht'!N$5,'Auswertung 3-Schicht'!N$9+1000*SQRT((A51+1)^2+AVERAGE(T0_Korrektur!D$1,T0_Korrektur!F$1,T0_Korrektur!H$1)^2)/'Auswertung 3-Schicht'!N$8)))</f>
        <v>100.58317724124012</v>
      </c>
      <c r="BR51" s="82">
        <f>ABS(T0_Korrektur!C50)</f>
        <v>96.26501181633958</v>
      </c>
      <c r="BS51" s="42">
        <f>ABS(T0_Korrektur!E50)</f>
        <v>2.9681644159311662</v>
      </c>
      <c r="BT51" s="42">
        <f>ABS(T0_Korrektur!I50)</f>
        <v>999</v>
      </c>
      <c r="BU51" s="79">
        <f>ABS(T0_Korrektur!M50)</f>
        <v>999</v>
      </c>
      <c r="BV51" s="120">
        <f>IF(T0_Korrektur!H50="","",T0_Korrektur!H50-Hilfsdaten!BP51)</f>
        <v>-12.893901542177289</v>
      </c>
      <c r="BW51" s="118"/>
      <c r="BX51" s="118"/>
      <c r="BY51" s="118">
        <f>IF(T0_Korrektur!F9="","",T0_Korrektur!F9-Hilfsdaten!BP51)</f>
        <v>-17.096801542177289</v>
      </c>
      <c r="BZ51" s="120">
        <f>IF(T0_Korrektur!H50="","",T0_Korrektur!H50-Hilfsdaten!BQ51)</f>
        <v>-0.77527724124011854</v>
      </c>
      <c r="CA51" s="118"/>
      <c r="CB51" s="118"/>
      <c r="CC51" s="121">
        <f>IF(T0_Korrektur!F9="","",T0_Korrektur!F9-Hilfsdaten!BQ51)</f>
        <v>-4.9781772412401182</v>
      </c>
    </row>
    <row r="52" spans="1:81" s="240" customFormat="1" x14ac:dyDescent="0.2">
      <c r="A52" s="231"/>
      <c r="B52" s="232"/>
      <c r="C52" s="233"/>
      <c r="D52" s="233"/>
      <c r="E52" s="234"/>
      <c r="F52" s="235"/>
      <c r="G52" s="233"/>
      <c r="H52" s="233"/>
      <c r="I52" s="236"/>
      <c r="J52" s="233"/>
      <c r="K52" s="237"/>
      <c r="L52" s="235"/>
      <c r="M52" s="238"/>
      <c r="N52" s="232"/>
      <c r="O52" s="233"/>
      <c r="P52" s="234"/>
      <c r="Q52" s="232"/>
      <c r="R52" s="233"/>
      <c r="S52" s="233"/>
      <c r="T52" s="233"/>
      <c r="U52" s="233"/>
      <c r="V52" s="237"/>
      <c r="W52" s="232"/>
      <c r="X52" s="233"/>
      <c r="Y52" s="233"/>
      <c r="Z52" s="236"/>
      <c r="AA52" s="233"/>
      <c r="AB52" s="237"/>
      <c r="AC52" s="233"/>
      <c r="AD52" s="234"/>
      <c r="AE52" s="239"/>
      <c r="AF52" s="233"/>
      <c r="AG52" s="233"/>
      <c r="AH52" s="233"/>
      <c r="AI52" s="233"/>
      <c r="AJ52" s="233"/>
      <c r="AK52" s="233"/>
      <c r="AL52" s="233"/>
      <c r="AM52" s="232"/>
      <c r="AN52" s="233"/>
      <c r="AO52" s="233"/>
      <c r="AP52" s="233"/>
      <c r="AQ52" s="233"/>
      <c r="AR52" s="233"/>
      <c r="AS52" s="233"/>
      <c r="AT52" s="233"/>
      <c r="AU52" s="232"/>
      <c r="AV52" s="233"/>
      <c r="AW52" s="236"/>
      <c r="AX52" s="236"/>
      <c r="AY52" s="236"/>
      <c r="AZ52" s="233"/>
      <c r="BA52" s="234"/>
      <c r="BB52" s="239"/>
      <c r="BC52" s="233"/>
      <c r="BD52" s="233"/>
      <c r="BE52" s="233"/>
      <c r="BF52" s="233"/>
      <c r="BG52" s="233"/>
      <c r="BH52" s="234"/>
      <c r="BI52" s="232"/>
      <c r="BJ52" s="233"/>
      <c r="BK52" s="233"/>
      <c r="BL52" s="233"/>
      <c r="BM52" s="233"/>
      <c r="BN52" s="233"/>
      <c r="BO52" s="234"/>
      <c r="BP52" s="232"/>
      <c r="BQ52" s="234"/>
      <c r="BR52" s="232"/>
      <c r="BS52" s="233"/>
      <c r="BT52" s="233"/>
      <c r="BU52" s="236"/>
      <c r="BV52" s="232"/>
      <c r="BW52" s="233"/>
      <c r="BX52" s="233"/>
      <c r="BY52" s="233"/>
      <c r="BZ52" s="232"/>
      <c r="CA52" s="233"/>
      <c r="CB52" s="233"/>
      <c r="CC52" s="234"/>
    </row>
    <row r="53" spans="1:81" s="240" customFormat="1" x14ac:dyDescent="0.2">
      <c r="A53" s="231"/>
      <c r="B53" s="232"/>
      <c r="C53" s="233"/>
      <c r="D53" s="233"/>
      <c r="E53" s="234"/>
      <c r="F53" s="235"/>
      <c r="G53" s="233"/>
      <c r="H53" s="233"/>
      <c r="I53" s="236"/>
      <c r="J53" s="233"/>
      <c r="K53" s="237"/>
      <c r="L53" s="235"/>
      <c r="M53" s="238"/>
      <c r="N53" s="232"/>
      <c r="O53" s="233"/>
      <c r="P53" s="234"/>
      <c r="Q53" s="232"/>
      <c r="R53" s="233"/>
      <c r="S53" s="233"/>
      <c r="T53" s="233"/>
      <c r="U53" s="233"/>
      <c r="V53" s="237"/>
      <c r="W53" s="232"/>
      <c r="X53" s="233"/>
      <c r="Y53" s="233"/>
      <c r="Z53" s="236"/>
      <c r="AA53" s="233"/>
      <c r="AB53" s="237"/>
      <c r="AC53" s="233"/>
      <c r="AD53" s="234"/>
      <c r="AE53" s="239"/>
      <c r="AF53" s="233"/>
      <c r="AG53" s="233"/>
      <c r="AH53" s="233"/>
      <c r="AI53" s="233"/>
      <c r="AJ53" s="233"/>
      <c r="AK53" s="233"/>
      <c r="AL53" s="233"/>
      <c r="AM53" s="232"/>
      <c r="AN53" s="233"/>
      <c r="AO53" s="233"/>
      <c r="AP53" s="233"/>
      <c r="AQ53" s="233"/>
      <c r="AR53" s="233"/>
      <c r="AS53" s="233"/>
      <c r="AT53" s="233"/>
      <c r="AU53" s="232"/>
      <c r="AV53" s="233"/>
      <c r="AW53" s="236"/>
      <c r="AX53" s="236"/>
      <c r="AY53" s="236"/>
      <c r="AZ53" s="233"/>
      <c r="BA53" s="234"/>
      <c r="BB53" s="239"/>
      <c r="BC53" s="233"/>
      <c r="BD53" s="233"/>
      <c r="BE53" s="233"/>
      <c r="BF53" s="233"/>
      <c r="BG53" s="233"/>
      <c r="BH53" s="234"/>
      <c r="BI53" s="232"/>
      <c r="BJ53" s="233"/>
      <c r="BK53" s="233"/>
      <c r="BL53" s="233"/>
      <c r="BM53" s="233"/>
      <c r="BN53" s="233"/>
      <c r="BO53" s="234"/>
      <c r="BP53" s="232"/>
      <c r="BQ53" s="234"/>
      <c r="BR53" s="232"/>
      <c r="BS53" s="233"/>
      <c r="BT53" s="233"/>
      <c r="BU53" s="236"/>
      <c r="BV53" s="232"/>
      <c r="BW53" s="233"/>
      <c r="BX53" s="233"/>
      <c r="BY53" s="233"/>
      <c r="BZ53" s="232"/>
      <c r="CA53" s="233"/>
      <c r="CB53" s="233"/>
      <c r="CC53" s="234"/>
    </row>
    <row r="54" spans="1:81" s="240" customFormat="1" x14ac:dyDescent="0.2">
      <c r="A54" s="231"/>
      <c r="B54" s="232"/>
      <c r="C54" s="233"/>
      <c r="D54" s="233"/>
      <c r="E54" s="234"/>
      <c r="F54" s="235"/>
      <c r="G54" s="233"/>
      <c r="H54" s="233"/>
      <c r="I54" s="236"/>
      <c r="J54" s="233"/>
      <c r="K54" s="237"/>
      <c r="L54" s="235"/>
      <c r="M54" s="238"/>
      <c r="N54" s="232"/>
      <c r="O54" s="233"/>
      <c r="P54" s="234"/>
      <c r="Q54" s="232"/>
      <c r="R54" s="233"/>
      <c r="S54" s="233"/>
      <c r="T54" s="233"/>
      <c r="U54" s="233"/>
      <c r="V54" s="237"/>
      <c r="W54" s="232"/>
      <c r="X54" s="233"/>
      <c r="Y54" s="233"/>
      <c r="Z54" s="236"/>
      <c r="AA54" s="233"/>
      <c r="AB54" s="237"/>
      <c r="AC54" s="233"/>
      <c r="AD54" s="234"/>
      <c r="AE54" s="239"/>
      <c r="AF54" s="233"/>
      <c r="AG54" s="233"/>
      <c r="AH54" s="233"/>
      <c r="AI54" s="233"/>
      <c r="AJ54" s="233"/>
      <c r="AK54" s="233"/>
      <c r="AL54" s="233"/>
      <c r="AM54" s="232"/>
      <c r="AN54" s="233"/>
      <c r="AO54" s="233"/>
      <c r="AP54" s="233"/>
      <c r="AQ54" s="233"/>
      <c r="AR54" s="233"/>
      <c r="AS54" s="233"/>
      <c r="AT54" s="233"/>
      <c r="AU54" s="232"/>
      <c r="AV54" s="233"/>
      <c r="AW54" s="236"/>
      <c r="AX54" s="236"/>
      <c r="AY54" s="236"/>
      <c r="AZ54" s="233"/>
      <c r="BA54" s="234"/>
      <c r="BB54" s="239"/>
      <c r="BC54" s="233"/>
      <c r="BD54" s="233"/>
      <c r="BE54" s="233"/>
      <c r="BF54" s="233"/>
      <c r="BG54" s="233"/>
      <c r="BH54" s="234"/>
      <c r="BI54" s="232"/>
      <c r="BJ54" s="233"/>
      <c r="BK54" s="233"/>
      <c r="BL54" s="233"/>
      <c r="BM54" s="233"/>
      <c r="BN54" s="233"/>
      <c r="BO54" s="234"/>
      <c r="BP54" s="232"/>
      <c r="BQ54" s="234"/>
      <c r="BR54" s="232"/>
      <c r="BS54" s="233"/>
      <c r="BT54" s="233"/>
      <c r="BU54" s="236"/>
      <c r="BV54" s="232"/>
      <c r="BW54" s="233"/>
      <c r="BX54" s="233"/>
      <c r="BY54" s="233"/>
      <c r="BZ54" s="232"/>
      <c r="CA54" s="233"/>
      <c r="CB54" s="233"/>
      <c r="CC54" s="234"/>
    </row>
    <row r="55" spans="1:81" s="240" customFormat="1" x14ac:dyDescent="0.2">
      <c r="A55" s="231"/>
      <c r="B55" s="232"/>
      <c r="C55" s="233"/>
      <c r="D55" s="233"/>
      <c r="E55" s="234"/>
      <c r="F55" s="235"/>
      <c r="G55" s="233"/>
      <c r="H55" s="233"/>
      <c r="I55" s="236"/>
      <c r="J55" s="233"/>
      <c r="K55" s="237"/>
      <c r="L55" s="235"/>
      <c r="M55" s="238"/>
      <c r="N55" s="232"/>
      <c r="O55" s="233"/>
      <c r="P55" s="234"/>
      <c r="Q55" s="232"/>
      <c r="R55" s="233"/>
      <c r="S55" s="233"/>
      <c r="T55" s="233"/>
      <c r="U55" s="233"/>
      <c r="V55" s="237"/>
      <c r="W55" s="232"/>
      <c r="X55" s="233"/>
      <c r="Y55" s="233"/>
      <c r="Z55" s="236"/>
      <c r="AA55" s="233"/>
      <c r="AB55" s="237"/>
      <c r="AC55" s="233"/>
      <c r="AD55" s="234"/>
      <c r="AE55" s="239"/>
      <c r="AF55" s="233"/>
      <c r="AG55" s="233"/>
      <c r="AH55" s="233"/>
      <c r="AI55" s="233"/>
      <c r="AJ55" s="233"/>
      <c r="AK55" s="233"/>
      <c r="AL55" s="233"/>
      <c r="AM55" s="232"/>
      <c r="AN55" s="233"/>
      <c r="AO55" s="233"/>
      <c r="AP55" s="233"/>
      <c r="AQ55" s="233"/>
      <c r="AR55" s="233"/>
      <c r="AS55" s="233"/>
      <c r="AT55" s="233"/>
      <c r="AU55" s="232"/>
      <c r="AV55" s="233"/>
      <c r="AW55" s="236"/>
      <c r="AX55" s="236"/>
      <c r="AY55" s="236"/>
      <c r="AZ55" s="233"/>
      <c r="BA55" s="234"/>
      <c r="BB55" s="239"/>
      <c r="BC55" s="233"/>
      <c r="BD55" s="233"/>
      <c r="BE55" s="233"/>
      <c r="BF55" s="233"/>
      <c r="BG55" s="233"/>
      <c r="BH55" s="234"/>
      <c r="BI55" s="232"/>
      <c r="BJ55" s="233"/>
      <c r="BK55" s="233"/>
      <c r="BL55" s="233"/>
      <c r="BM55" s="233"/>
      <c r="BN55" s="233"/>
      <c r="BO55" s="234"/>
      <c r="BP55" s="232"/>
      <c r="BQ55" s="234"/>
      <c r="BR55" s="232"/>
      <c r="BS55" s="233"/>
      <c r="BT55" s="233"/>
      <c r="BU55" s="236"/>
      <c r="BV55" s="232"/>
      <c r="BW55" s="233"/>
      <c r="BX55" s="233"/>
      <c r="BY55" s="233"/>
      <c r="BZ55" s="232"/>
      <c r="CA55" s="233"/>
      <c r="CB55" s="233"/>
      <c r="CC55" s="234"/>
    </row>
    <row r="56" spans="1:81" s="240" customFormat="1" x14ac:dyDescent="0.2">
      <c r="A56" s="231"/>
      <c r="B56" s="232"/>
      <c r="C56" s="233"/>
      <c r="D56" s="233"/>
      <c r="E56" s="234"/>
      <c r="F56" s="235"/>
      <c r="G56" s="233"/>
      <c r="H56" s="233"/>
      <c r="I56" s="236"/>
      <c r="J56" s="233"/>
      <c r="K56" s="237"/>
      <c r="L56" s="235"/>
      <c r="M56" s="238"/>
      <c r="N56" s="232"/>
      <c r="O56" s="233"/>
      <c r="P56" s="234"/>
      <c r="Q56" s="232"/>
      <c r="R56" s="233"/>
      <c r="S56" s="233"/>
      <c r="T56" s="233"/>
      <c r="U56" s="233"/>
      <c r="V56" s="237"/>
      <c r="W56" s="232"/>
      <c r="X56" s="233"/>
      <c r="Y56" s="233"/>
      <c r="Z56" s="236"/>
      <c r="AA56" s="233"/>
      <c r="AB56" s="237"/>
      <c r="AC56" s="233"/>
      <c r="AD56" s="234"/>
      <c r="AE56" s="239"/>
      <c r="AF56" s="233"/>
      <c r="AG56" s="233"/>
      <c r="AH56" s="233"/>
      <c r="AI56" s="233"/>
      <c r="AJ56" s="233"/>
      <c r="AK56" s="233"/>
      <c r="AL56" s="233"/>
      <c r="AM56" s="232"/>
      <c r="AN56" s="233"/>
      <c r="AO56" s="233"/>
      <c r="AP56" s="233"/>
      <c r="AQ56" s="233"/>
      <c r="AR56" s="233"/>
      <c r="AS56" s="233"/>
      <c r="AT56" s="233"/>
      <c r="AU56" s="232"/>
      <c r="AV56" s="233"/>
      <c r="AW56" s="236"/>
      <c r="AX56" s="236"/>
      <c r="AY56" s="236"/>
      <c r="AZ56" s="233"/>
      <c r="BA56" s="234"/>
      <c r="BB56" s="239"/>
      <c r="BC56" s="233"/>
      <c r="BD56" s="233"/>
      <c r="BE56" s="233"/>
      <c r="BF56" s="233"/>
      <c r="BG56" s="233"/>
      <c r="BH56" s="234"/>
      <c r="BI56" s="232"/>
      <c r="BJ56" s="233"/>
      <c r="BK56" s="233"/>
      <c r="BL56" s="233"/>
      <c r="BM56" s="233"/>
      <c r="BN56" s="233"/>
      <c r="BO56" s="234"/>
      <c r="BP56" s="232"/>
      <c r="BQ56" s="234"/>
      <c r="BR56" s="232"/>
      <c r="BS56" s="233"/>
      <c r="BT56" s="233"/>
      <c r="BU56" s="236"/>
      <c r="BV56" s="232"/>
      <c r="BW56" s="233"/>
      <c r="BX56" s="233"/>
      <c r="BY56" s="233"/>
      <c r="BZ56" s="232"/>
      <c r="CA56" s="233"/>
      <c r="CB56" s="233"/>
      <c r="CC56" s="234"/>
    </row>
    <row r="57" spans="1:81" s="240" customFormat="1" ht="12" thickBot="1" x14ac:dyDescent="0.25">
      <c r="A57" s="231"/>
      <c r="B57" s="232"/>
      <c r="C57" s="233"/>
      <c r="D57" s="233"/>
      <c r="E57" s="234"/>
      <c r="F57" s="235"/>
      <c r="G57" s="233"/>
      <c r="H57" s="233"/>
      <c r="I57" s="236"/>
      <c r="J57" s="233"/>
      <c r="K57" s="237"/>
      <c r="L57" s="235"/>
      <c r="M57" s="238"/>
      <c r="N57" s="232"/>
      <c r="O57" s="233"/>
      <c r="P57" s="234"/>
      <c r="Q57" s="232"/>
      <c r="R57" s="233"/>
      <c r="S57" s="233"/>
      <c r="T57" s="233"/>
      <c r="U57" s="233"/>
      <c r="V57" s="237"/>
      <c r="W57" s="232"/>
      <c r="X57" s="233"/>
      <c r="Y57" s="233"/>
      <c r="Z57" s="236"/>
      <c r="AA57" s="233"/>
      <c r="AB57" s="237"/>
      <c r="AC57" s="233"/>
      <c r="AD57" s="234"/>
      <c r="AE57" s="239"/>
      <c r="AF57" s="233"/>
      <c r="AG57" s="233"/>
      <c r="AH57" s="233"/>
      <c r="AI57" s="233"/>
      <c r="AJ57" s="233"/>
      <c r="AK57" s="233"/>
      <c r="AL57" s="233"/>
      <c r="AM57" s="232"/>
      <c r="AN57" s="233"/>
      <c r="AO57" s="233"/>
      <c r="AP57" s="233"/>
      <c r="AQ57" s="233"/>
      <c r="AR57" s="233"/>
      <c r="AS57" s="233"/>
      <c r="AT57" s="233"/>
      <c r="AU57" s="232"/>
      <c r="AV57" s="233"/>
      <c r="AW57" s="236"/>
      <c r="AX57" s="236"/>
      <c r="AY57" s="236"/>
      <c r="AZ57" s="233"/>
      <c r="BA57" s="234"/>
      <c r="BB57" s="239"/>
      <c r="BC57" s="233"/>
      <c r="BD57" s="233"/>
      <c r="BE57" s="233"/>
      <c r="BF57" s="233"/>
      <c r="BG57" s="233"/>
      <c r="BH57" s="234"/>
      <c r="BI57" s="232"/>
      <c r="BJ57" s="233"/>
      <c r="BK57" s="233"/>
      <c r="BL57" s="233"/>
      <c r="BM57" s="233"/>
      <c r="BN57" s="233"/>
      <c r="BO57" s="234"/>
      <c r="BP57" s="232"/>
      <c r="BQ57" s="234"/>
      <c r="BR57" s="232"/>
      <c r="BS57" s="233"/>
      <c r="BT57" s="233"/>
      <c r="BU57" s="236"/>
      <c r="BV57" s="241"/>
      <c r="BW57" s="242"/>
      <c r="BX57" s="242"/>
      <c r="BY57" s="242"/>
      <c r="BZ57" s="241"/>
      <c r="CA57" s="242"/>
      <c r="CB57" s="242"/>
      <c r="CC57" s="243"/>
    </row>
    <row r="58" spans="1:81" x14ac:dyDescent="0.2">
      <c r="A58" s="119"/>
      <c r="BP58" s="82"/>
      <c r="BQ58" s="83"/>
    </row>
    <row r="59" spans="1:81" x14ac:dyDescent="0.2">
      <c r="A59" s="119"/>
      <c r="BP59" s="82"/>
      <c r="BQ59" s="83"/>
    </row>
    <row r="60" spans="1:81" x14ac:dyDescent="0.2">
      <c r="A60" s="119"/>
      <c r="BP60" s="82"/>
      <c r="BQ60" s="83"/>
    </row>
    <row r="61" spans="1:81" x14ac:dyDescent="0.2">
      <c r="A61" s="119"/>
      <c r="BP61" s="82"/>
      <c r="BQ61" s="83"/>
    </row>
    <row r="62" spans="1:81" x14ac:dyDescent="0.2">
      <c r="A62" s="119"/>
      <c r="BP62" s="82"/>
      <c r="BQ62" s="83"/>
    </row>
    <row r="63" spans="1:81" x14ac:dyDescent="0.2">
      <c r="A63" s="119"/>
      <c r="BP63" s="82"/>
      <c r="BQ63" s="83"/>
    </row>
    <row r="64" spans="1:81" x14ac:dyDescent="0.2">
      <c r="A64" s="119"/>
      <c r="BP64" s="82"/>
      <c r="BQ64" s="83"/>
    </row>
    <row r="65" spans="1:69" x14ac:dyDescent="0.2">
      <c r="A65" s="119"/>
      <c r="BP65" s="82"/>
      <c r="BQ65" s="83"/>
    </row>
    <row r="66" spans="1:69" x14ac:dyDescent="0.2">
      <c r="A66" s="119"/>
      <c r="BP66" s="82"/>
      <c r="BQ66" s="83"/>
    </row>
    <row r="67" spans="1:69" x14ac:dyDescent="0.2">
      <c r="A67" s="119"/>
      <c r="BP67" s="82"/>
      <c r="BQ67" s="83"/>
    </row>
    <row r="68" spans="1:69" x14ac:dyDescent="0.2">
      <c r="A68" s="119"/>
      <c r="BP68" s="82"/>
      <c r="BQ68" s="83"/>
    </row>
    <row r="69" spans="1:69" x14ac:dyDescent="0.2">
      <c r="A69" s="119"/>
      <c r="BP69" s="82"/>
      <c r="BQ69" s="83"/>
    </row>
    <row r="70" spans="1:69" x14ac:dyDescent="0.2">
      <c r="A70" s="119"/>
      <c r="BP70" s="82"/>
      <c r="BQ70" s="83"/>
    </row>
    <row r="71" spans="1:69" x14ac:dyDescent="0.2">
      <c r="A71" s="119"/>
      <c r="BP71" s="82"/>
      <c r="BQ71" s="83"/>
    </row>
    <row r="72" spans="1:69" x14ac:dyDescent="0.2">
      <c r="A72" s="119"/>
      <c r="BP72" s="82"/>
      <c r="BQ72" s="83"/>
    </row>
    <row r="73" spans="1:69" x14ac:dyDescent="0.2">
      <c r="A73" s="119"/>
      <c r="BP73" s="82"/>
      <c r="BQ73" s="83"/>
    </row>
    <row r="74" spans="1:69" x14ac:dyDescent="0.2">
      <c r="A74" s="119"/>
      <c r="BP74" s="82"/>
      <c r="BQ74" s="83"/>
    </row>
    <row r="75" spans="1:69" x14ac:dyDescent="0.2">
      <c r="A75" s="119"/>
      <c r="BP75" s="82"/>
      <c r="BQ75" s="83"/>
    </row>
    <row r="76" spans="1:69" x14ac:dyDescent="0.2">
      <c r="A76" s="119"/>
      <c r="BP76" s="82"/>
      <c r="BQ76" s="83"/>
    </row>
    <row r="77" spans="1:69" x14ac:dyDescent="0.2">
      <c r="A77" s="119"/>
      <c r="BP77" s="82"/>
      <c r="BQ77" s="83"/>
    </row>
    <row r="78" spans="1:69" x14ac:dyDescent="0.2">
      <c r="A78" s="119"/>
      <c r="BP78" s="82"/>
      <c r="BQ78" s="83"/>
    </row>
    <row r="79" spans="1:69" x14ac:dyDescent="0.2">
      <c r="A79" s="119"/>
      <c r="BP79" s="82"/>
      <c r="BQ79" s="83"/>
    </row>
    <row r="80" spans="1:69" x14ac:dyDescent="0.2">
      <c r="A80" s="119"/>
      <c r="BP80" s="82"/>
      <c r="BQ80" s="83"/>
    </row>
    <row r="81" spans="1:69" x14ac:dyDescent="0.2">
      <c r="A81" s="119"/>
      <c r="BP81" s="82"/>
      <c r="BQ81" s="83"/>
    </row>
    <row r="82" spans="1:69" x14ac:dyDescent="0.2">
      <c r="A82" s="119"/>
      <c r="BP82" s="82"/>
      <c r="BQ82" s="83"/>
    </row>
    <row r="83" spans="1:69" x14ac:dyDescent="0.2">
      <c r="A83" s="119"/>
      <c r="BP83" s="82"/>
      <c r="BQ83" s="83"/>
    </row>
    <row r="84" spans="1:69" x14ac:dyDescent="0.2">
      <c r="A84" s="119"/>
      <c r="BP84" s="82"/>
      <c r="BQ84" s="83"/>
    </row>
    <row r="85" spans="1:69" x14ac:dyDescent="0.2">
      <c r="A85" s="119"/>
      <c r="BP85" s="82"/>
      <c r="BQ85" s="83"/>
    </row>
    <row r="86" spans="1:69" x14ac:dyDescent="0.2">
      <c r="A86" s="119"/>
      <c r="BP86" s="82"/>
      <c r="BQ86" s="83"/>
    </row>
    <row r="87" spans="1:69" x14ac:dyDescent="0.2">
      <c r="A87" s="119"/>
      <c r="BP87" s="82"/>
      <c r="BQ87" s="83"/>
    </row>
    <row r="88" spans="1:69" x14ac:dyDescent="0.2">
      <c r="A88" s="119"/>
      <c r="BP88" s="82"/>
      <c r="BQ88" s="83"/>
    </row>
    <row r="89" spans="1:69" x14ac:dyDescent="0.2">
      <c r="A89" s="119"/>
      <c r="BP89" s="82"/>
      <c r="BQ89" s="83"/>
    </row>
    <row r="90" spans="1:69" x14ac:dyDescent="0.2">
      <c r="A90" s="119"/>
      <c r="BP90" s="82"/>
      <c r="BQ90" s="83"/>
    </row>
    <row r="91" spans="1:69" x14ac:dyDescent="0.2">
      <c r="A91" s="119"/>
      <c r="BP91" s="82"/>
      <c r="BQ91" s="83"/>
    </row>
    <row r="92" spans="1:69" x14ac:dyDescent="0.2">
      <c r="A92" s="119"/>
      <c r="BP92" s="82"/>
      <c r="BQ92" s="83"/>
    </row>
    <row r="93" spans="1:69" x14ac:dyDescent="0.2">
      <c r="A93" s="119"/>
      <c r="BP93" s="82"/>
      <c r="BQ93" s="83"/>
    </row>
    <row r="94" spans="1:69" x14ac:dyDescent="0.2">
      <c r="A94" s="119"/>
      <c r="BP94" s="82"/>
      <c r="BQ94" s="83"/>
    </row>
    <row r="95" spans="1:69" x14ac:dyDescent="0.2">
      <c r="A95" s="119"/>
      <c r="BP95" s="82"/>
      <c r="BQ95" s="83"/>
    </row>
    <row r="96" spans="1:69" x14ac:dyDescent="0.2">
      <c r="A96" s="119"/>
      <c r="BP96" s="82"/>
      <c r="BQ96" s="83"/>
    </row>
    <row r="97" spans="1:69" x14ac:dyDescent="0.2">
      <c r="A97" s="119"/>
      <c r="BP97" s="82"/>
      <c r="BQ97" s="83"/>
    </row>
    <row r="98" spans="1:69" x14ac:dyDescent="0.2">
      <c r="A98" s="119"/>
      <c r="BP98" s="82"/>
      <c r="BQ98" s="83"/>
    </row>
    <row r="99" spans="1:69" ht="12" thickBot="1" x14ac:dyDescent="0.25">
      <c r="A99" s="119"/>
      <c r="BP99" s="84"/>
      <c r="BQ99" s="83"/>
    </row>
    <row r="100" spans="1:69" x14ac:dyDescent="0.2">
      <c r="A100" s="119"/>
    </row>
    <row r="101" spans="1:69" x14ac:dyDescent="0.2">
      <c r="A101" s="119"/>
    </row>
    <row r="102" spans="1:69" x14ac:dyDescent="0.2">
      <c r="A102" s="119"/>
    </row>
    <row r="103" spans="1:69" x14ac:dyDescent="0.2">
      <c r="A103" s="119"/>
    </row>
    <row r="104" spans="1:69" x14ac:dyDescent="0.2">
      <c r="A104" s="119"/>
    </row>
    <row r="105" spans="1:69" x14ac:dyDescent="0.2">
      <c r="A105" s="119"/>
    </row>
    <row r="106" spans="1:69" x14ac:dyDescent="0.2">
      <c r="A106" s="119"/>
    </row>
  </sheetData>
  <mergeCells count="22">
    <mergeCell ref="BP2:BQ2"/>
    <mergeCell ref="AM2:AT2"/>
    <mergeCell ref="BI2:BO2"/>
    <mergeCell ref="W1:BO1"/>
    <mergeCell ref="BP1:BQ1"/>
    <mergeCell ref="BZ2:CC2"/>
    <mergeCell ref="BR1:BU1"/>
    <mergeCell ref="BR2:BU2"/>
    <mergeCell ref="BZ3:CC3"/>
    <mergeCell ref="BV1:CC1"/>
    <mergeCell ref="BV2:BY2"/>
    <mergeCell ref="BV3:BY3"/>
    <mergeCell ref="L2:M2"/>
    <mergeCell ref="B1:V1"/>
    <mergeCell ref="B2:E2"/>
    <mergeCell ref="F2:K2"/>
    <mergeCell ref="BB2:BH2"/>
    <mergeCell ref="N2:P2"/>
    <mergeCell ref="Q2:V2"/>
    <mergeCell ref="W2:AD2"/>
    <mergeCell ref="AU2:BA2"/>
    <mergeCell ref="AE2:AL2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D190"/>
  <sheetViews>
    <sheetView topLeftCell="A32" workbookViewId="0">
      <selection activeCell="C44" sqref="C44:C190"/>
    </sheetView>
  </sheetViews>
  <sheetFormatPr baseColWidth="10" defaultRowHeight="12.75" x14ac:dyDescent="0.2"/>
  <sheetData>
    <row r="1" spans="1:2" x14ac:dyDescent="0.2">
      <c r="A1" t="s">
        <v>95</v>
      </c>
    </row>
    <row r="2" spans="1:2" x14ac:dyDescent="0.2">
      <c r="A2" t="s">
        <v>96</v>
      </c>
    </row>
    <row r="3" spans="1:2" x14ac:dyDescent="0.2">
      <c r="A3" t="s">
        <v>97</v>
      </c>
    </row>
    <row r="4" spans="1:2" x14ac:dyDescent="0.2">
      <c r="A4" t="s">
        <v>98</v>
      </c>
    </row>
    <row r="5" spans="1:2" x14ac:dyDescent="0.2">
      <c r="A5" t="s">
        <v>99</v>
      </c>
      <c r="B5" t="s">
        <v>100</v>
      </c>
    </row>
    <row r="6" spans="1:2" x14ac:dyDescent="0.2">
      <c r="A6" t="s">
        <v>101</v>
      </c>
    </row>
    <row r="7" spans="1:2" x14ac:dyDescent="0.2">
      <c r="A7" t="s">
        <v>102</v>
      </c>
    </row>
    <row r="8" spans="1:2" x14ac:dyDescent="0.2">
      <c r="A8" t="s">
        <v>103</v>
      </c>
      <c r="B8" t="s">
        <v>104</v>
      </c>
    </row>
    <row r="9" spans="1:2" x14ac:dyDescent="0.2">
      <c r="A9" t="s">
        <v>95</v>
      </c>
    </row>
    <row r="10" spans="1:2" x14ac:dyDescent="0.2">
      <c r="A10" t="s">
        <v>95</v>
      </c>
    </row>
    <row r="11" spans="1:2" x14ac:dyDescent="0.2">
      <c r="A11" t="s">
        <v>105</v>
      </c>
    </row>
    <row r="12" spans="1:2" x14ac:dyDescent="0.2">
      <c r="A12" t="s">
        <v>106</v>
      </c>
    </row>
    <row r="13" spans="1:2" x14ac:dyDescent="0.2">
      <c r="A13" t="s">
        <v>95</v>
      </c>
    </row>
    <row r="14" spans="1:2" x14ac:dyDescent="0.2">
      <c r="A14">
        <v>4</v>
      </c>
    </row>
    <row r="15" spans="1:2" x14ac:dyDescent="0.2">
      <c r="A15" t="s">
        <v>95</v>
      </c>
    </row>
    <row r="16" spans="1:2" x14ac:dyDescent="0.2">
      <c r="A16" t="s">
        <v>107</v>
      </c>
    </row>
    <row r="17" spans="1:3" x14ac:dyDescent="0.2">
      <c r="A17" t="s">
        <v>108</v>
      </c>
    </row>
    <row r="18" spans="1:3" x14ac:dyDescent="0.2">
      <c r="A18" t="s">
        <v>95</v>
      </c>
    </row>
    <row r="19" spans="1:3" x14ac:dyDescent="0.2">
      <c r="A19" t="s">
        <v>95</v>
      </c>
    </row>
    <row r="20" spans="1:3" x14ac:dyDescent="0.2">
      <c r="A20" t="s">
        <v>109</v>
      </c>
      <c r="B20" t="s">
        <v>110</v>
      </c>
      <c r="C20" t="s">
        <v>111</v>
      </c>
    </row>
    <row r="21" spans="1:3" x14ac:dyDescent="0.2">
      <c r="A21" t="s">
        <v>112</v>
      </c>
      <c r="B21" t="s">
        <v>113</v>
      </c>
      <c r="C21" t="s">
        <v>111</v>
      </c>
    </row>
    <row r="22" spans="1:3" x14ac:dyDescent="0.2">
      <c r="A22" t="s">
        <v>114</v>
      </c>
      <c r="B22" t="s">
        <v>115</v>
      </c>
      <c r="C22" t="s">
        <v>116</v>
      </c>
    </row>
    <row r="23" spans="1:3" x14ac:dyDescent="0.2">
      <c r="A23" t="s">
        <v>117</v>
      </c>
      <c r="B23" t="s">
        <v>118</v>
      </c>
      <c r="C23" t="s">
        <v>111</v>
      </c>
    </row>
    <row r="24" spans="1:3" x14ac:dyDescent="0.2">
      <c r="A24" t="s">
        <v>95</v>
      </c>
    </row>
    <row r="25" spans="1:3" x14ac:dyDescent="0.2">
      <c r="A25" t="s">
        <v>95</v>
      </c>
    </row>
    <row r="26" spans="1:3" x14ac:dyDescent="0.2">
      <c r="A26" t="s">
        <v>119</v>
      </c>
    </row>
    <row r="27" spans="1:3" x14ac:dyDescent="0.2">
      <c r="A27" t="s">
        <v>120</v>
      </c>
    </row>
    <row r="28" spans="1:3" x14ac:dyDescent="0.2">
      <c r="A28" t="s">
        <v>121</v>
      </c>
    </row>
    <row r="29" spans="1:3" x14ac:dyDescent="0.2">
      <c r="A29" t="s">
        <v>122</v>
      </c>
      <c r="B29" t="s">
        <v>123</v>
      </c>
    </row>
    <row r="30" spans="1:3" x14ac:dyDescent="0.2">
      <c r="A30" t="s">
        <v>124</v>
      </c>
    </row>
    <row r="31" spans="1:3" x14ac:dyDescent="0.2">
      <c r="A31" t="s">
        <v>125</v>
      </c>
    </row>
    <row r="32" spans="1:3" x14ac:dyDescent="0.2">
      <c r="A32" t="s">
        <v>126</v>
      </c>
    </row>
    <row r="33" spans="1:4" x14ac:dyDescent="0.2">
      <c r="A33" t="s">
        <v>95</v>
      </c>
    </row>
    <row r="34" spans="1:4" x14ac:dyDescent="0.2">
      <c r="A34" t="s">
        <v>127</v>
      </c>
    </row>
    <row r="35" spans="1:4" x14ac:dyDescent="0.2">
      <c r="A35" t="s">
        <v>128</v>
      </c>
    </row>
    <row r="36" spans="1:4" x14ac:dyDescent="0.2">
      <c r="A36" t="s">
        <v>95</v>
      </c>
    </row>
    <row r="37" spans="1:4" x14ac:dyDescent="0.2">
      <c r="A37" t="s">
        <v>129</v>
      </c>
      <c r="B37" t="s">
        <v>130</v>
      </c>
    </row>
    <row r="38" spans="1:4" x14ac:dyDescent="0.2">
      <c r="A38" t="s">
        <v>131</v>
      </c>
    </row>
    <row r="39" spans="1:4" x14ac:dyDescent="0.2">
      <c r="A39" t="s">
        <v>95</v>
      </c>
    </row>
    <row r="40" spans="1:4" x14ac:dyDescent="0.2">
      <c r="A40" t="s">
        <v>95</v>
      </c>
    </row>
    <row r="41" spans="1:4" x14ac:dyDescent="0.2">
      <c r="A41" t="s">
        <v>132</v>
      </c>
    </row>
    <row r="42" spans="1:4" x14ac:dyDescent="0.2">
      <c r="A42" t="s">
        <v>109</v>
      </c>
      <c r="B42" t="s">
        <v>112</v>
      </c>
      <c r="C42" t="s">
        <v>114</v>
      </c>
      <c r="D42" t="s">
        <v>117</v>
      </c>
    </row>
    <row r="43" spans="1:4" x14ac:dyDescent="0.2">
      <c r="A43" t="s">
        <v>95</v>
      </c>
    </row>
    <row r="44" spans="1:4" x14ac:dyDescent="0.2">
      <c r="A44">
        <v>1</v>
      </c>
      <c r="B44">
        <v>1</v>
      </c>
      <c r="C44">
        <v>7.9097900000000001</v>
      </c>
      <c r="D44">
        <v>1</v>
      </c>
    </row>
    <row r="45" spans="1:4" x14ac:dyDescent="0.2">
      <c r="A45">
        <v>2</v>
      </c>
      <c r="B45">
        <v>1</v>
      </c>
      <c r="C45">
        <v>13.6335</v>
      </c>
      <c r="D45">
        <v>1</v>
      </c>
    </row>
    <row r="46" spans="1:4" x14ac:dyDescent="0.2">
      <c r="A46">
        <v>3</v>
      </c>
      <c r="B46">
        <v>1</v>
      </c>
      <c r="C46">
        <v>18.5032</v>
      </c>
      <c r="D46">
        <v>1</v>
      </c>
    </row>
    <row r="47" spans="1:4" x14ac:dyDescent="0.2">
      <c r="A47">
        <v>4</v>
      </c>
      <c r="B47">
        <v>1</v>
      </c>
      <c r="C47">
        <v>23.624700000000001</v>
      </c>
      <c r="D47">
        <v>1</v>
      </c>
    </row>
    <row r="48" spans="1:4" x14ac:dyDescent="0.2">
      <c r="A48">
        <v>5</v>
      </c>
      <c r="B48">
        <v>1</v>
      </c>
      <c r="C48">
        <v>28.874300000000002</v>
      </c>
      <c r="D48">
        <v>1</v>
      </c>
    </row>
    <row r="49" spans="1:4" x14ac:dyDescent="0.2">
      <c r="A49">
        <v>6</v>
      </c>
      <c r="B49">
        <v>1</v>
      </c>
      <c r="C49">
        <v>32.715499999999999</v>
      </c>
      <c r="D49">
        <v>1</v>
      </c>
    </row>
    <row r="50" spans="1:4" x14ac:dyDescent="0.2">
      <c r="A50">
        <v>7</v>
      </c>
      <c r="B50">
        <v>1</v>
      </c>
      <c r="C50">
        <v>35.788400000000003</v>
      </c>
      <c r="D50">
        <v>1</v>
      </c>
    </row>
    <row r="51" spans="1:4" x14ac:dyDescent="0.2">
      <c r="A51">
        <v>8</v>
      </c>
      <c r="B51">
        <v>1</v>
      </c>
      <c r="C51">
        <v>38.368000000000002</v>
      </c>
      <c r="D51">
        <v>1</v>
      </c>
    </row>
    <row r="52" spans="1:4" x14ac:dyDescent="0.2">
      <c r="A52">
        <v>9</v>
      </c>
      <c r="B52">
        <v>1</v>
      </c>
      <c r="C52">
        <v>41.1661</v>
      </c>
      <c r="D52">
        <v>1</v>
      </c>
    </row>
    <row r="53" spans="1:4" x14ac:dyDescent="0.2">
      <c r="A53">
        <v>10</v>
      </c>
      <c r="B53">
        <v>1</v>
      </c>
      <c r="C53">
        <v>43.726799999999997</v>
      </c>
      <c r="D53">
        <v>1</v>
      </c>
    </row>
    <row r="54" spans="1:4" x14ac:dyDescent="0.2">
      <c r="A54">
        <v>11</v>
      </c>
      <c r="B54">
        <v>1</v>
      </c>
      <c r="C54">
        <v>46.287599999999998</v>
      </c>
      <c r="D54">
        <v>1</v>
      </c>
    </row>
    <row r="55" spans="1:4" x14ac:dyDescent="0.2">
      <c r="A55">
        <v>12</v>
      </c>
      <c r="B55">
        <v>1</v>
      </c>
      <c r="C55">
        <v>49.104500000000002</v>
      </c>
      <c r="D55">
        <v>1</v>
      </c>
    </row>
    <row r="56" spans="1:4" x14ac:dyDescent="0.2">
      <c r="A56">
        <v>13</v>
      </c>
      <c r="B56">
        <v>1</v>
      </c>
      <c r="C56">
        <v>51.921300000000002</v>
      </c>
      <c r="D56">
        <v>1</v>
      </c>
    </row>
    <row r="57" spans="1:4" x14ac:dyDescent="0.2">
      <c r="A57">
        <v>14</v>
      </c>
      <c r="B57">
        <v>1</v>
      </c>
      <c r="C57">
        <v>54.354100000000003</v>
      </c>
      <c r="D57">
        <v>1</v>
      </c>
    </row>
    <row r="58" spans="1:4" x14ac:dyDescent="0.2">
      <c r="A58">
        <v>15</v>
      </c>
      <c r="B58">
        <v>1</v>
      </c>
      <c r="C58">
        <v>57.583300000000001</v>
      </c>
      <c r="D58">
        <v>1</v>
      </c>
    </row>
    <row r="59" spans="1:4" x14ac:dyDescent="0.2">
      <c r="A59">
        <v>16</v>
      </c>
      <c r="B59">
        <v>1</v>
      </c>
      <c r="C59">
        <v>60.036299999999997</v>
      </c>
      <c r="D59">
        <v>1</v>
      </c>
    </row>
    <row r="60" spans="1:4" x14ac:dyDescent="0.2">
      <c r="A60">
        <v>17</v>
      </c>
      <c r="B60">
        <v>1</v>
      </c>
      <c r="C60">
        <v>62.898200000000003</v>
      </c>
      <c r="D60">
        <v>1</v>
      </c>
    </row>
    <row r="61" spans="1:4" x14ac:dyDescent="0.2">
      <c r="A61">
        <v>18</v>
      </c>
      <c r="B61">
        <v>1</v>
      </c>
      <c r="C61">
        <v>65.749600000000001</v>
      </c>
      <c r="D61">
        <v>1</v>
      </c>
    </row>
    <row r="62" spans="1:4" x14ac:dyDescent="0.2">
      <c r="A62">
        <v>19</v>
      </c>
      <c r="B62">
        <v>1</v>
      </c>
      <c r="C62">
        <v>67.395399999999995</v>
      </c>
      <c r="D62">
        <v>1</v>
      </c>
    </row>
    <row r="63" spans="1:4" x14ac:dyDescent="0.2">
      <c r="A63">
        <v>20</v>
      </c>
      <c r="B63">
        <v>1</v>
      </c>
      <c r="C63">
        <v>69.030699999999996</v>
      </c>
      <c r="D63">
        <v>1</v>
      </c>
    </row>
    <row r="64" spans="1:4" x14ac:dyDescent="0.2">
      <c r="A64">
        <v>21</v>
      </c>
      <c r="B64">
        <v>1</v>
      </c>
      <c r="C64">
        <v>70.743099999999998</v>
      </c>
      <c r="D64">
        <v>1</v>
      </c>
    </row>
    <row r="65" spans="1:4" x14ac:dyDescent="0.2">
      <c r="A65">
        <v>22</v>
      </c>
      <c r="B65">
        <v>1</v>
      </c>
      <c r="C65">
        <v>71.0749</v>
      </c>
      <c r="D65">
        <v>1</v>
      </c>
    </row>
    <row r="66" spans="1:4" x14ac:dyDescent="0.2">
      <c r="A66">
        <v>23</v>
      </c>
      <c r="B66">
        <v>1</v>
      </c>
      <c r="C66">
        <v>70.999200000000002</v>
      </c>
      <c r="D66">
        <v>1</v>
      </c>
    </row>
    <row r="67" spans="1:4" x14ac:dyDescent="0.2">
      <c r="A67">
        <v>24</v>
      </c>
      <c r="B67">
        <v>1</v>
      </c>
      <c r="C67">
        <v>71.255200000000002</v>
      </c>
      <c r="D67">
        <v>1</v>
      </c>
    </row>
    <row r="68" spans="1:4" x14ac:dyDescent="0.2">
      <c r="A68">
        <v>25</v>
      </c>
      <c r="B68">
        <v>1</v>
      </c>
      <c r="C68">
        <v>72.279499999999999</v>
      </c>
      <c r="D68">
        <v>1</v>
      </c>
    </row>
    <row r="69" spans="1:4" x14ac:dyDescent="0.2">
      <c r="A69">
        <v>26</v>
      </c>
      <c r="B69">
        <v>1</v>
      </c>
      <c r="C69">
        <v>73.431899999999999</v>
      </c>
      <c r="D69">
        <v>1</v>
      </c>
    </row>
    <row r="70" spans="1:4" x14ac:dyDescent="0.2">
      <c r="A70">
        <v>27</v>
      </c>
      <c r="B70">
        <v>1</v>
      </c>
      <c r="C70">
        <v>74.456199999999995</v>
      </c>
      <c r="D70">
        <v>1</v>
      </c>
    </row>
    <row r="71" spans="1:4" x14ac:dyDescent="0.2">
      <c r="A71">
        <v>28</v>
      </c>
      <c r="B71">
        <v>1</v>
      </c>
      <c r="C71">
        <v>75.352500000000006</v>
      </c>
      <c r="D71">
        <v>1</v>
      </c>
    </row>
    <row r="72" spans="1:4" x14ac:dyDescent="0.2">
      <c r="A72">
        <v>29</v>
      </c>
      <c r="B72">
        <v>1</v>
      </c>
      <c r="C72">
        <v>75.736599999999996</v>
      </c>
      <c r="D72">
        <v>1</v>
      </c>
    </row>
    <row r="73" spans="1:4" x14ac:dyDescent="0.2">
      <c r="A73">
        <v>30</v>
      </c>
      <c r="B73">
        <v>1</v>
      </c>
      <c r="C73">
        <v>76.594200000000001</v>
      </c>
      <c r="D73">
        <v>1</v>
      </c>
    </row>
    <row r="74" spans="1:4" x14ac:dyDescent="0.2">
      <c r="A74">
        <v>31</v>
      </c>
      <c r="B74">
        <v>1</v>
      </c>
      <c r="C74">
        <v>77.820700000000002</v>
      </c>
      <c r="D74">
        <v>1</v>
      </c>
    </row>
    <row r="75" spans="1:4" x14ac:dyDescent="0.2">
      <c r="A75">
        <v>32</v>
      </c>
      <c r="B75">
        <v>1</v>
      </c>
      <c r="C75">
        <v>80.069299999999998</v>
      </c>
      <c r="D75">
        <v>1</v>
      </c>
    </row>
    <row r="76" spans="1:4" x14ac:dyDescent="0.2">
      <c r="A76">
        <v>33</v>
      </c>
      <c r="B76">
        <v>1</v>
      </c>
      <c r="C76">
        <v>81.500200000000007</v>
      </c>
      <c r="D76">
        <v>1</v>
      </c>
    </row>
    <row r="77" spans="1:4" x14ac:dyDescent="0.2">
      <c r="A77">
        <v>34</v>
      </c>
      <c r="B77">
        <v>1</v>
      </c>
      <c r="C77">
        <v>83.34</v>
      </c>
      <c r="D77">
        <v>1</v>
      </c>
    </row>
    <row r="78" spans="1:4" x14ac:dyDescent="0.2">
      <c r="A78">
        <v>35</v>
      </c>
      <c r="B78">
        <v>1</v>
      </c>
      <c r="C78">
        <v>85.179699999999997</v>
      </c>
      <c r="D78">
        <v>1</v>
      </c>
    </row>
    <row r="79" spans="1:4" x14ac:dyDescent="0.2">
      <c r="A79">
        <v>36</v>
      </c>
      <c r="B79">
        <v>1</v>
      </c>
      <c r="C79">
        <v>87.6327</v>
      </c>
      <c r="D79">
        <v>1</v>
      </c>
    </row>
    <row r="80" spans="1:4" x14ac:dyDescent="0.2">
      <c r="A80">
        <v>37</v>
      </c>
      <c r="B80">
        <v>1</v>
      </c>
      <c r="C80">
        <v>88.245999999999995</v>
      </c>
      <c r="D80">
        <v>1</v>
      </c>
    </row>
    <row r="81" spans="1:4" x14ac:dyDescent="0.2">
      <c r="A81">
        <v>38</v>
      </c>
      <c r="B81">
        <v>1</v>
      </c>
      <c r="C81">
        <v>89.692899999999995</v>
      </c>
      <c r="D81">
        <v>1</v>
      </c>
    </row>
    <row r="82" spans="1:4" x14ac:dyDescent="0.2">
      <c r="A82">
        <v>39</v>
      </c>
      <c r="B82">
        <v>1</v>
      </c>
      <c r="C82">
        <v>91.357399999999998</v>
      </c>
      <c r="D82">
        <v>1</v>
      </c>
    </row>
    <row r="83" spans="1:4" x14ac:dyDescent="0.2">
      <c r="A83">
        <v>40</v>
      </c>
      <c r="B83">
        <v>1</v>
      </c>
      <c r="C83">
        <v>92.129900000000006</v>
      </c>
      <c r="D83">
        <v>1</v>
      </c>
    </row>
    <row r="84" spans="1:4" x14ac:dyDescent="0.2">
      <c r="A84">
        <v>41</v>
      </c>
      <c r="B84">
        <v>1</v>
      </c>
      <c r="C84">
        <v>93.424599999999998</v>
      </c>
      <c r="D84">
        <v>1</v>
      </c>
    </row>
    <row r="85" spans="1:4" x14ac:dyDescent="0.2">
      <c r="A85">
        <v>42</v>
      </c>
      <c r="B85">
        <v>1</v>
      </c>
      <c r="C85">
        <v>94.174199999999999</v>
      </c>
      <c r="D85">
        <v>1</v>
      </c>
    </row>
    <row r="86" spans="1:4" x14ac:dyDescent="0.2">
      <c r="A86">
        <v>43</v>
      </c>
      <c r="B86">
        <v>1</v>
      </c>
      <c r="C86">
        <v>95.838700000000003</v>
      </c>
      <c r="D86">
        <v>1</v>
      </c>
    </row>
    <row r="87" spans="1:4" x14ac:dyDescent="0.2">
      <c r="A87">
        <v>44</v>
      </c>
      <c r="B87">
        <v>1</v>
      </c>
      <c r="C87">
        <v>96.863</v>
      </c>
      <c r="D87">
        <v>1</v>
      </c>
    </row>
    <row r="88" spans="1:4" x14ac:dyDescent="0.2">
      <c r="A88">
        <v>45</v>
      </c>
      <c r="B88">
        <v>1</v>
      </c>
      <c r="C88">
        <v>97.631299999999996</v>
      </c>
      <c r="D88">
        <v>1</v>
      </c>
    </row>
    <row r="89" spans="1:4" x14ac:dyDescent="0.2">
      <c r="A89">
        <v>46</v>
      </c>
      <c r="B89">
        <v>1</v>
      </c>
      <c r="C89">
        <v>98.399500000000003</v>
      </c>
      <c r="D89">
        <v>1</v>
      </c>
    </row>
    <row r="90" spans="1:4" x14ac:dyDescent="0.2">
      <c r="A90">
        <v>47</v>
      </c>
      <c r="B90">
        <v>1</v>
      </c>
      <c r="C90">
        <v>98.911699999999996</v>
      </c>
      <c r="D90">
        <v>1</v>
      </c>
    </row>
    <row r="91" spans="1:4" x14ac:dyDescent="0.2">
      <c r="A91">
        <v>48</v>
      </c>
      <c r="B91">
        <v>1</v>
      </c>
      <c r="C91">
        <v>99.807900000000004</v>
      </c>
      <c r="D91">
        <v>1</v>
      </c>
    </row>
    <row r="92" spans="1:4" x14ac:dyDescent="0.2">
      <c r="A92" t="s">
        <v>95</v>
      </c>
    </row>
    <row r="93" spans="1:4" x14ac:dyDescent="0.2">
      <c r="A93">
        <v>1</v>
      </c>
      <c r="B93">
        <v>2</v>
      </c>
      <c r="C93">
        <v>69.439499999999995</v>
      </c>
      <c r="D93">
        <v>1</v>
      </c>
    </row>
    <row r="94" spans="1:4" x14ac:dyDescent="0.2">
      <c r="A94">
        <v>2</v>
      </c>
      <c r="B94">
        <v>2</v>
      </c>
      <c r="C94">
        <v>68.826300000000003</v>
      </c>
      <c r="D94">
        <v>1</v>
      </c>
    </row>
    <row r="95" spans="1:4" x14ac:dyDescent="0.2">
      <c r="A95">
        <v>3</v>
      </c>
      <c r="B95">
        <v>2</v>
      </c>
      <c r="C95">
        <v>68.008600000000001</v>
      </c>
      <c r="D95">
        <v>1</v>
      </c>
    </row>
    <row r="96" spans="1:4" x14ac:dyDescent="0.2">
      <c r="A96">
        <v>4</v>
      </c>
      <c r="B96">
        <v>2</v>
      </c>
      <c r="C96">
        <v>67.190899999999999</v>
      </c>
      <c r="D96">
        <v>1</v>
      </c>
    </row>
    <row r="97" spans="1:4" x14ac:dyDescent="0.2">
      <c r="A97">
        <v>5</v>
      </c>
      <c r="B97">
        <v>2</v>
      </c>
      <c r="C97">
        <v>66.3733</v>
      </c>
      <c r="D97">
        <v>1</v>
      </c>
    </row>
    <row r="98" spans="1:4" x14ac:dyDescent="0.2">
      <c r="A98">
        <v>6</v>
      </c>
      <c r="B98">
        <v>2</v>
      </c>
      <c r="C98">
        <v>63.715800000000002</v>
      </c>
      <c r="D98">
        <v>1</v>
      </c>
    </row>
    <row r="99" spans="1:4" x14ac:dyDescent="0.2">
      <c r="A99">
        <v>7</v>
      </c>
      <c r="B99">
        <v>2</v>
      </c>
      <c r="C99">
        <v>61.876100000000001</v>
      </c>
      <c r="D99">
        <v>1</v>
      </c>
    </row>
    <row r="100" spans="1:4" x14ac:dyDescent="0.2">
      <c r="A100">
        <v>8</v>
      </c>
      <c r="B100">
        <v>2</v>
      </c>
      <c r="C100">
        <v>59.831899999999997</v>
      </c>
      <c r="D100">
        <v>1</v>
      </c>
    </row>
    <row r="101" spans="1:4" x14ac:dyDescent="0.2">
      <c r="A101">
        <v>9</v>
      </c>
      <c r="B101">
        <v>2</v>
      </c>
      <c r="C101">
        <v>57.174500000000002</v>
      </c>
      <c r="D101">
        <v>1</v>
      </c>
    </row>
    <row r="102" spans="1:4" x14ac:dyDescent="0.2">
      <c r="A102">
        <v>10</v>
      </c>
      <c r="B102">
        <v>2</v>
      </c>
      <c r="C102">
        <v>54.517000000000003</v>
      </c>
      <c r="D102">
        <v>1</v>
      </c>
    </row>
    <row r="103" spans="1:4" x14ac:dyDescent="0.2">
      <c r="A103">
        <v>11</v>
      </c>
      <c r="B103">
        <v>2</v>
      </c>
      <c r="C103">
        <v>51.246400000000001</v>
      </c>
      <c r="D103">
        <v>1</v>
      </c>
    </row>
    <row r="104" spans="1:4" x14ac:dyDescent="0.2">
      <c r="A104">
        <v>12</v>
      </c>
      <c r="B104">
        <v>2</v>
      </c>
      <c r="C104">
        <v>48.793399999999998</v>
      </c>
      <c r="D104">
        <v>1</v>
      </c>
    </row>
    <row r="105" spans="1:4" x14ac:dyDescent="0.2">
      <c r="A105">
        <v>13</v>
      </c>
      <c r="B105">
        <v>2</v>
      </c>
      <c r="C105">
        <v>46.135899999999999</v>
      </c>
      <c r="D105">
        <v>1</v>
      </c>
    </row>
    <row r="106" spans="1:4" x14ac:dyDescent="0.2">
      <c r="A106">
        <v>14</v>
      </c>
      <c r="B106">
        <v>2</v>
      </c>
      <c r="C106">
        <v>43.682899999999997</v>
      </c>
      <c r="D106">
        <v>1</v>
      </c>
    </row>
    <row r="107" spans="1:4" x14ac:dyDescent="0.2">
      <c r="A107">
        <v>15</v>
      </c>
      <c r="B107">
        <v>2</v>
      </c>
      <c r="C107">
        <v>41.102200000000003</v>
      </c>
      <c r="D107">
        <v>1</v>
      </c>
    </row>
    <row r="108" spans="1:4" x14ac:dyDescent="0.2">
      <c r="A108">
        <v>16</v>
      </c>
      <c r="B108">
        <v>2</v>
      </c>
      <c r="C108">
        <v>38.076000000000001</v>
      </c>
      <c r="D108">
        <v>1</v>
      </c>
    </row>
    <row r="109" spans="1:4" x14ac:dyDescent="0.2">
      <c r="A109">
        <v>17</v>
      </c>
      <c r="B109">
        <v>2</v>
      </c>
      <c r="C109">
        <v>35.0518</v>
      </c>
      <c r="D109">
        <v>1</v>
      </c>
    </row>
    <row r="110" spans="1:4" x14ac:dyDescent="0.2">
      <c r="A110">
        <v>18</v>
      </c>
      <c r="B110">
        <v>2</v>
      </c>
      <c r="C110">
        <v>32.031100000000002</v>
      </c>
      <c r="D110">
        <v>1</v>
      </c>
    </row>
    <row r="111" spans="1:4" x14ac:dyDescent="0.2">
      <c r="A111">
        <v>19</v>
      </c>
      <c r="B111">
        <v>2</v>
      </c>
      <c r="C111">
        <v>28.760400000000001</v>
      </c>
      <c r="D111">
        <v>1</v>
      </c>
    </row>
    <row r="112" spans="1:4" x14ac:dyDescent="0.2">
      <c r="A112">
        <v>20</v>
      </c>
      <c r="B112">
        <v>2</v>
      </c>
      <c r="C112">
        <v>22.3718</v>
      </c>
      <c r="D112">
        <v>1</v>
      </c>
    </row>
    <row r="113" spans="1:4" x14ac:dyDescent="0.2">
      <c r="A113">
        <v>21</v>
      </c>
      <c r="B113">
        <v>2</v>
      </c>
      <c r="C113">
        <v>17.312999999999999</v>
      </c>
      <c r="D113">
        <v>1</v>
      </c>
    </row>
    <row r="114" spans="1:4" x14ac:dyDescent="0.2">
      <c r="A114">
        <v>22</v>
      </c>
      <c r="B114">
        <v>2</v>
      </c>
      <c r="C114">
        <v>13.2247</v>
      </c>
      <c r="D114">
        <v>1</v>
      </c>
    </row>
    <row r="115" spans="1:4" x14ac:dyDescent="0.2">
      <c r="A115">
        <v>23</v>
      </c>
      <c r="B115">
        <v>2</v>
      </c>
      <c r="C115">
        <v>8.1142099999999999</v>
      </c>
      <c r="D115">
        <v>1</v>
      </c>
    </row>
    <row r="116" spans="1:4" x14ac:dyDescent="0.2">
      <c r="A116">
        <v>24</v>
      </c>
      <c r="B116">
        <v>2</v>
      </c>
      <c r="C116">
        <v>3.20818</v>
      </c>
      <c r="D116">
        <v>1</v>
      </c>
    </row>
    <row r="117" spans="1:4" x14ac:dyDescent="0.2">
      <c r="A117">
        <v>25</v>
      </c>
      <c r="B117">
        <v>2</v>
      </c>
      <c r="C117">
        <v>4.0258599999999998</v>
      </c>
      <c r="D117">
        <v>1</v>
      </c>
    </row>
    <row r="118" spans="1:4" x14ac:dyDescent="0.2">
      <c r="A118">
        <v>26</v>
      </c>
      <c r="B118">
        <v>2</v>
      </c>
      <c r="C118">
        <v>9.1363000000000003</v>
      </c>
      <c r="D118">
        <v>1</v>
      </c>
    </row>
    <row r="119" spans="1:4" x14ac:dyDescent="0.2">
      <c r="A119">
        <v>27</v>
      </c>
      <c r="B119">
        <v>2</v>
      </c>
      <c r="C119">
        <v>13.837899999999999</v>
      </c>
      <c r="D119">
        <v>1</v>
      </c>
    </row>
    <row r="120" spans="1:4" x14ac:dyDescent="0.2">
      <c r="A120">
        <v>28</v>
      </c>
      <c r="B120">
        <v>2</v>
      </c>
      <c r="C120">
        <v>17.6784</v>
      </c>
      <c r="D120">
        <v>1</v>
      </c>
    </row>
    <row r="121" spans="1:4" x14ac:dyDescent="0.2">
      <c r="A121">
        <v>29</v>
      </c>
      <c r="B121">
        <v>2</v>
      </c>
      <c r="C121">
        <v>22.219000000000001</v>
      </c>
      <c r="D121">
        <v>1</v>
      </c>
    </row>
    <row r="122" spans="1:4" x14ac:dyDescent="0.2">
      <c r="A122">
        <v>30</v>
      </c>
      <c r="B122">
        <v>2</v>
      </c>
      <c r="C122">
        <v>29.782499999999999</v>
      </c>
      <c r="D122">
        <v>1</v>
      </c>
    </row>
    <row r="123" spans="1:4" x14ac:dyDescent="0.2">
      <c r="A123">
        <v>31</v>
      </c>
      <c r="B123">
        <v>2</v>
      </c>
      <c r="C123">
        <v>33.257599999999996</v>
      </c>
      <c r="D123">
        <v>1</v>
      </c>
    </row>
    <row r="124" spans="1:4" x14ac:dyDescent="0.2">
      <c r="A124">
        <v>32</v>
      </c>
      <c r="B124">
        <v>2</v>
      </c>
      <c r="C124">
        <v>36.451900000000002</v>
      </c>
      <c r="D124">
        <v>1</v>
      </c>
    </row>
    <row r="125" spans="1:4" x14ac:dyDescent="0.2">
      <c r="A125">
        <v>33</v>
      </c>
      <c r="B125">
        <v>2</v>
      </c>
      <c r="C125">
        <v>38.9863</v>
      </c>
      <c r="D125">
        <v>1</v>
      </c>
    </row>
    <row r="126" spans="1:4" x14ac:dyDescent="0.2">
      <c r="A126">
        <v>34</v>
      </c>
      <c r="B126">
        <v>2</v>
      </c>
      <c r="C126">
        <v>40.957500000000003</v>
      </c>
      <c r="D126">
        <v>1</v>
      </c>
    </row>
    <row r="127" spans="1:4" x14ac:dyDescent="0.2">
      <c r="A127">
        <v>35</v>
      </c>
      <c r="B127">
        <v>2</v>
      </c>
      <c r="C127">
        <v>43.585799999999999</v>
      </c>
      <c r="D127">
        <v>1</v>
      </c>
    </row>
    <row r="128" spans="1:4" x14ac:dyDescent="0.2">
      <c r="A128">
        <v>36</v>
      </c>
      <c r="B128">
        <v>2</v>
      </c>
      <c r="C128">
        <v>46.120199999999997</v>
      </c>
      <c r="D128">
        <v>1</v>
      </c>
    </row>
    <row r="129" spans="1:4" x14ac:dyDescent="0.2">
      <c r="A129">
        <v>37</v>
      </c>
      <c r="B129">
        <v>2</v>
      </c>
      <c r="C129">
        <v>48.180100000000003</v>
      </c>
      <c r="D129">
        <v>1</v>
      </c>
    </row>
    <row r="130" spans="1:4" x14ac:dyDescent="0.2">
      <c r="A130">
        <v>38</v>
      </c>
      <c r="B130">
        <v>2</v>
      </c>
      <c r="C130">
        <v>50.837400000000002</v>
      </c>
      <c r="D130">
        <v>1</v>
      </c>
    </row>
    <row r="131" spans="1:4" x14ac:dyDescent="0.2">
      <c r="A131">
        <v>39</v>
      </c>
      <c r="B131">
        <v>2</v>
      </c>
      <c r="C131">
        <v>53.494999999999997</v>
      </c>
      <c r="D131">
        <v>1</v>
      </c>
    </row>
    <row r="132" spans="1:4" x14ac:dyDescent="0.2">
      <c r="A132">
        <v>40</v>
      </c>
      <c r="B132">
        <v>2</v>
      </c>
      <c r="C132">
        <v>56.445599999999999</v>
      </c>
      <c r="D132">
        <v>1</v>
      </c>
    </row>
    <row r="133" spans="1:4" x14ac:dyDescent="0.2">
      <c r="A133">
        <v>41</v>
      </c>
      <c r="B133">
        <v>2</v>
      </c>
      <c r="C133">
        <v>60.200299999999999</v>
      </c>
      <c r="D133">
        <v>1</v>
      </c>
    </row>
    <row r="134" spans="1:4" x14ac:dyDescent="0.2">
      <c r="A134">
        <v>42</v>
      </c>
      <c r="B134">
        <v>2</v>
      </c>
      <c r="C134">
        <v>62.734699999999997</v>
      </c>
      <c r="D134">
        <v>1</v>
      </c>
    </row>
    <row r="135" spans="1:4" x14ac:dyDescent="0.2">
      <c r="A135">
        <v>43</v>
      </c>
      <c r="B135">
        <v>2</v>
      </c>
      <c r="C135">
        <v>66.113900000000001</v>
      </c>
      <c r="D135">
        <v>1</v>
      </c>
    </row>
    <row r="136" spans="1:4" x14ac:dyDescent="0.2">
      <c r="A136">
        <v>44</v>
      </c>
      <c r="B136">
        <v>2</v>
      </c>
      <c r="C136">
        <v>67.334199999999996</v>
      </c>
      <c r="D136">
        <v>1</v>
      </c>
    </row>
    <row r="137" spans="1:4" x14ac:dyDescent="0.2">
      <c r="A137">
        <v>45</v>
      </c>
      <c r="B137">
        <v>2</v>
      </c>
      <c r="C137">
        <v>68.460599999999999</v>
      </c>
      <c r="D137">
        <v>1</v>
      </c>
    </row>
    <row r="138" spans="1:4" x14ac:dyDescent="0.2">
      <c r="A138">
        <v>46</v>
      </c>
      <c r="B138">
        <v>2</v>
      </c>
      <c r="C138">
        <v>69.305400000000006</v>
      </c>
      <c r="D138">
        <v>1</v>
      </c>
    </row>
    <row r="139" spans="1:4" x14ac:dyDescent="0.2">
      <c r="A139">
        <v>47</v>
      </c>
      <c r="B139">
        <v>2</v>
      </c>
      <c r="C139">
        <v>70.257199999999997</v>
      </c>
      <c r="D139">
        <v>1</v>
      </c>
    </row>
    <row r="140" spans="1:4" x14ac:dyDescent="0.2">
      <c r="A140">
        <v>48</v>
      </c>
      <c r="B140">
        <v>2</v>
      </c>
      <c r="C140">
        <v>70.6661</v>
      </c>
      <c r="D140">
        <v>1</v>
      </c>
    </row>
    <row r="141" spans="1:4" x14ac:dyDescent="0.2">
      <c r="A141" t="s">
        <v>95</v>
      </c>
    </row>
    <row r="142" spans="1:4" x14ac:dyDescent="0.2">
      <c r="A142">
        <v>1</v>
      </c>
      <c r="B142">
        <v>3</v>
      </c>
      <c r="C142">
        <v>100.92</v>
      </c>
      <c r="D142">
        <v>1</v>
      </c>
    </row>
    <row r="143" spans="1:4" x14ac:dyDescent="0.2">
      <c r="A143">
        <v>2</v>
      </c>
      <c r="B143">
        <v>3</v>
      </c>
      <c r="C143">
        <v>100.511</v>
      </c>
      <c r="D143">
        <v>1</v>
      </c>
    </row>
    <row r="144" spans="1:4" x14ac:dyDescent="0.2">
      <c r="A144">
        <v>3</v>
      </c>
      <c r="B144">
        <v>3</v>
      </c>
      <c r="C144">
        <v>100.102</v>
      </c>
      <c r="D144">
        <v>1</v>
      </c>
    </row>
    <row r="145" spans="1:4" x14ac:dyDescent="0.2">
      <c r="A145">
        <v>4</v>
      </c>
      <c r="B145">
        <v>3</v>
      </c>
      <c r="C145">
        <v>99.284499999999994</v>
      </c>
      <c r="D145">
        <v>1</v>
      </c>
    </row>
    <row r="146" spans="1:4" x14ac:dyDescent="0.2">
      <c r="A146">
        <v>5</v>
      </c>
      <c r="B146">
        <v>3</v>
      </c>
      <c r="C146">
        <v>98.466899999999995</v>
      </c>
      <c r="D146">
        <v>1</v>
      </c>
    </row>
    <row r="147" spans="1:4" x14ac:dyDescent="0.2">
      <c r="A147">
        <v>6</v>
      </c>
      <c r="B147">
        <v>3</v>
      </c>
      <c r="C147">
        <v>97.035899999999998</v>
      </c>
      <c r="D147">
        <v>1</v>
      </c>
    </row>
    <row r="148" spans="1:4" x14ac:dyDescent="0.2">
      <c r="A148">
        <v>7</v>
      </c>
      <c r="B148">
        <v>3</v>
      </c>
      <c r="C148">
        <v>95.605000000000004</v>
      </c>
      <c r="D148">
        <v>1</v>
      </c>
    </row>
    <row r="149" spans="1:4" x14ac:dyDescent="0.2">
      <c r="A149">
        <v>8</v>
      </c>
      <c r="B149">
        <v>3</v>
      </c>
      <c r="C149">
        <v>94.378500000000003</v>
      </c>
      <c r="D149">
        <v>1</v>
      </c>
    </row>
    <row r="150" spans="1:4" x14ac:dyDescent="0.2">
      <c r="A150">
        <v>9</v>
      </c>
      <c r="B150">
        <v>3</v>
      </c>
      <c r="C150">
        <v>92.538700000000006</v>
      </c>
      <c r="D150">
        <v>1</v>
      </c>
    </row>
    <row r="151" spans="1:4" x14ac:dyDescent="0.2">
      <c r="A151">
        <v>10</v>
      </c>
      <c r="B151">
        <v>3</v>
      </c>
      <c r="C151">
        <v>90.494600000000005</v>
      </c>
      <c r="D151">
        <v>1</v>
      </c>
    </row>
    <row r="152" spans="1:4" x14ac:dyDescent="0.2">
      <c r="A152">
        <v>11</v>
      </c>
      <c r="B152">
        <v>3</v>
      </c>
      <c r="C152">
        <v>88.859200000000001</v>
      </c>
      <c r="D152">
        <v>1</v>
      </c>
    </row>
    <row r="153" spans="1:4" x14ac:dyDescent="0.2">
      <c r="A153">
        <v>12</v>
      </c>
      <c r="B153">
        <v>3</v>
      </c>
      <c r="C153">
        <v>87.2239</v>
      </c>
      <c r="D153">
        <v>1</v>
      </c>
    </row>
    <row r="154" spans="1:4" x14ac:dyDescent="0.2">
      <c r="A154">
        <v>13</v>
      </c>
      <c r="B154">
        <v>3</v>
      </c>
      <c r="C154">
        <v>85.588499999999996</v>
      </c>
      <c r="D154">
        <v>1</v>
      </c>
    </row>
    <row r="155" spans="1:4" x14ac:dyDescent="0.2">
      <c r="A155">
        <v>14</v>
      </c>
      <c r="B155">
        <v>3</v>
      </c>
      <c r="C155">
        <v>84.770899999999997</v>
      </c>
      <c r="D155">
        <v>1</v>
      </c>
    </row>
    <row r="156" spans="1:4" x14ac:dyDescent="0.2">
      <c r="A156">
        <v>15</v>
      </c>
      <c r="B156">
        <v>3</v>
      </c>
      <c r="C156">
        <v>83.34</v>
      </c>
      <c r="D156">
        <v>1</v>
      </c>
    </row>
    <row r="157" spans="1:4" x14ac:dyDescent="0.2">
      <c r="A157">
        <v>16</v>
      </c>
      <c r="B157">
        <v>3</v>
      </c>
      <c r="C157">
        <v>81.500200000000007</v>
      </c>
      <c r="D157">
        <v>1</v>
      </c>
    </row>
    <row r="158" spans="1:4" x14ac:dyDescent="0.2">
      <c r="A158">
        <v>17</v>
      </c>
      <c r="B158">
        <v>3</v>
      </c>
      <c r="C158">
        <v>80.069299999999998</v>
      </c>
      <c r="D158">
        <v>1</v>
      </c>
    </row>
    <row r="159" spans="1:4" x14ac:dyDescent="0.2">
      <c r="A159">
        <v>18</v>
      </c>
      <c r="B159">
        <v>3</v>
      </c>
      <c r="C159">
        <v>78.433899999999994</v>
      </c>
      <c r="D159">
        <v>1</v>
      </c>
    </row>
    <row r="160" spans="1:4" x14ac:dyDescent="0.2">
      <c r="A160">
        <v>19</v>
      </c>
      <c r="B160">
        <v>3</v>
      </c>
      <c r="C160">
        <v>76.798599999999993</v>
      </c>
      <c r="D160">
        <v>1</v>
      </c>
    </row>
    <row r="161" spans="1:4" x14ac:dyDescent="0.2">
      <c r="A161">
        <v>20</v>
      </c>
      <c r="B161">
        <v>3</v>
      </c>
      <c r="C161">
        <v>75.572100000000006</v>
      </c>
      <c r="D161">
        <v>1</v>
      </c>
    </row>
    <row r="162" spans="1:4" x14ac:dyDescent="0.2">
      <c r="A162">
        <v>21</v>
      </c>
      <c r="B162">
        <v>3</v>
      </c>
      <c r="C162">
        <v>74.754400000000004</v>
      </c>
      <c r="D162">
        <v>1</v>
      </c>
    </row>
    <row r="163" spans="1:4" x14ac:dyDescent="0.2">
      <c r="A163">
        <v>22</v>
      </c>
      <c r="B163">
        <v>3</v>
      </c>
      <c r="C163">
        <v>74.396600000000007</v>
      </c>
      <c r="D163">
        <v>1</v>
      </c>
    </row>
    <row r="164" spans="1:4" x14ac:dyDescent="0.2">
      <c r="A164">
        <v>23</v>
      </c>
      <c r="B164">
        <v>3</v>
      </c>
      <c r="C164">
        <v>73.502300000000005</v>
      </c>
      <c r="D164">
        <v>1</v>
      </c>
    </row>
    <row r="165" spans="1:4" x14ac:dyDescent="0.2">
      <c r="A165">
        <v>24</v>
      </c>
      <c r="B165">
        <v>3</v>
      </c>
      <c r="C165">
        <v>72.607900000000001</v>
      </c>
      <c r="D165">
        <v>1</v>
      </c>
    </row>
    <row r="166" spans="1:4" x14ac:dyDescent="0.2">
      <c r="A166">
        <v>25</v>
      </c>
      <c r="B166">
        <v>3</v>
      </c>
      <c r="C166">
        <v>71.7136</v>
      </c>
      <c r="D166">
        <v>1</v>
      </c>
    </row>
    <row r="167" spans="1:4" x14ac:dyDescent="0.2">
      <c r="A167">
        <v>26</v>
      </c>
      <c r="B167">
        <v>3</v>
      </c>
      <c r="C167">
        <v>70.819299999999998</v>
      </c>
      <c r="D167">
        <v>1</v>
      </c>
    </row>
    <row r="168" spans="1:4" x14ac:dyDescent="0.2">
      <c r="A168">
        <v>27</v>
      </c>
      <c r="B168">
        <v>3</v>
      </c>
      <c r="C168">
        <v>70.461600000000004</v>
      </c>
      <c r="D168">
        <v>1</v>
      </c>
    </row>
    <row r="169" spans="1:4" x14ac:dyDescent="0.2">
      <c r="A169">
        <v>28</v>
      </c>
      <c r="B169">
        <v>3</v>
      </c>
      <c r="C169">
        <v>69.644000000000005</v>
      </c>
      <c r="D169">
        <v>1</v>
      </c>
    </row>
    <row r="170" spans="1:4" x14ac:dyDescent="0.2">
      <c r="A170">
        <v>29</v>
      </c>
      <c r="B170">
        <v>3</v>
      </c>
      <c r="C170">
        <v>68.621899999999997</v>
      </c>
      <c r="D170">
        <v>1</v>
      </c>
    </row>
    <row r="171" spans="1:4" x14ac:dyDescent="0.2">
      <c r="A171">
        <v>30</v>
      </c>
      <c r="B171">
        <v>3</v>
      </c>
      <c r="C171">
        <v>66.3733</v>
      </c>
      <c r="D171">
        <v>1</v>
      </c>
    </row>
    <row r="172" spans="1:4" x14ac:dyDescent="0.2">
      <c r="A172">
        <v>31</v>
      </c>
      <c r="B172">
        <v>3</v>
      </c>
      <c r="C172">
        <v>63.920299999999997</v>
      </c>
      <c r="D172">
        <v>1</v>
      </c>
    </row>
    <row r="173" spans="1:4" x14ac:dyDescent="0.2">
      <c r="A173">
        <v>32</v>
      </c>
      <c r="B173">
        <v>3</v>
      </c>
      <c r="C173">
        <v>61.671700000000001</v>
      </c>
      <c r="D173">
        <v>1</v>
      </c>
    </row>
    <row r="174" spans="1:4" x14ac:dyDescent="0.2">
      <c r="A174">
        <v>33</v>
      </c>
      <c r="B174">
        <v>3</v>
      </c>
      <c r="C174">
        <v>58.605400000000003</v>
      </c>
      <c r="D174">
        <v>1</v>
      </c>
    </row>
    <row r="175" spans="1:4" x14ac:dyDescent="0.2">
      <c r="A175">
        <v>34</v>
      </c>
      <c r="B175">
        <v>3</v>
      </c>
      <c r="C175">
        <v>55.538899999999998</v>
      </c>
      <c r="D175">
        <v>1</v>
      </c>
    </row>
    <row r="176" spans="1:4" x14ac:dyDescent="0.2">
      <c r="A176">
        <v>35</v>
      </c>
      <c r="B176">
        <v>3</v>
      </c>
      <c r="C176">
        <v>53.290500000000002</v>
      </c>
      <c r="D176">
        <v>1</v>
      </c>
    </row>
    <row r="177" spans="1:4" x14ac:dyDescent="0.2">
      <c r="A177">
        <v>36</v>
      </c>
      <c r="B177">
        <v>3</v>
      </c>
      <c r="C177">
        <v>50.428699999999999</v>
      </c>
      <c r="D177">
        <v>1</v>
      </c>
    </row>
    <row r="178" spans="1:4" x14ac:dyDescent="0.2">
      <c r="A178">
        <v>37</v>
      </c>
      <c r="B178">
        <v>3</v>
      </c>
      <c r="C178">
        <v>47.158000000000001</v>
      </c>
      <c r="D178">
        <v>1</v>
      </c>
    </row>
    <row r="179" spans="1:4" x14ac:dyDescent="0.2">
      <c r="A179">
        <v>38</v>
      </c>
      <c r="B179">
        <v>3</v>
      </c>
      <c r="C179">
        <v>44.091299999999997</v>
      </c>
      <c r="D179">
        <v>1</v>
      </c>
    </row>
    <row r="180" spans="1:4" x14ac:dyDescent="0.2">
      <c r="A180">
        <v>39</v>
      </c>
      <c r="B180">
        <v>3</v>
      </c>
      <c r="C180">
        <v>41.4343</v>
      </c>
      <c r="D180">
        <v>1</v>
      </c>
    </row>
    <row r="181" spans="1:4" x14ac:dyDescent="0.2">
      <c r="A181">
        <v>40</v>
      </c>
      <c r="B181">
        <v>3</v>
      </c>
      <c r="C181">
        <v>38.368000000000002</v>
      </c>
      <c r="D181">
        <v>1</v>
      </c>
    </row>
    <row r="182" spans="1:4" x14ac:dyDescent="0.2">
      <c r="A182">
        <v>41</v>
      </c>
      <c r="B182">
        <v>3</v>
      </c>
      <c r="C182">
        <v>36.119399999999999</v>
      </c>
      <c r="D182">
        <v>1</v>
      </c>
    </row>
    <row r="183" spans="1:4" x14ac:dyDescent="0.2">
      <c r="A183">
        <v>42</v>
      </c>
      <c r="B183">
        <v>3</v>
      </c>
      <c r="C183">
        <v>33.870800000000003</v>
      </c>
      <c r="D183">
        <v>1</v>
      </c>
    </row>
    <row r="184" spans="1:4" x14ac:dyDescent="0.2">
      <c r="A184">
        <v>43</v>
      </c>
      <c r="B184">
        <v>3</v>
      </c>
      <c r="C184">
        <v>31.009</v>
      </c>
      <c r="D184">
        <v>1</v>
      </c>
    </row>
    <row r="185" spans="1:4" x14ac:dyDescent="0.2">
      <c r="A185">
        <v>44</v>
      </c>
      <c r="B185">
        <v>3</v>
      </c>
      <c r="C185">
        <v>24.058800000000002</v>
      </c>
      <c r="D185">
        <v>1</v>
      </c>
    </row>
    <row r="186" spans="1:4" x14ac:dyDescent="0.2">
      <c r="A186">
        <v>45</v>
      </c>
      <c r="B186">
        <v>3</v>
      </c>
      <c r="C186">
        <v>19.561599999999999</v>
      </c>
      <c r="D186">
        <v>1</v>
      </c>
    </row>
    <row r="187" spans="1:4" x14ac:dyDescent="0.2">
      <c r="A187">
        <v>46</v>
      </c>
      <c r="B187">
        <v>3</v>
      </c>
      <c r="C187">
        <v>15.064399999999999</v>
      </c>
      <c r="D187">
        <v>1</v>
      </c>
    </row>
    <row r="188" spans="1:4" x14ac:dyDescent="0.2">
      <c r="A188">
        <v>47</v>
      </c>
      <c r="B188">
        <v>3</v>
      </c>
      <c r="C188">
        <v>10.771599999999999</v>
      </c>
      <c r="D188">
        <v>1</v>
      </c>
    </row>
    <row r="189" spans="1:4" x14ac:dyDescent="0.2">
      <c r="A189">
        <v>48</v>
      </c>
      <c r="B189">
        <v>3</v>
      </c>
      <c r="C189">
        <v>5.4567800000000002</v>
      </c>
      <c r="D189">
        <v>1</v>
      </c>
    </row>
    <row r="190" spans="1:4" x14ac:dyDescent="0.2">
      <c r="A190" t="s">
        <v>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Picks importieren</vt:lpstr>
      <vt:lpstr>T0_Korrektur</vt:lpstr>
      <vt:lpstr>Laufzeitkurven</vt:lpstr>
      <vt:lpstr>Auswertung 2-Schicht</vt:lpstr>
      <vt:lpstr>Auswertung 3-Schicht</vt:lpstr>
      <vt:lpstr>Fit</vt:lpstr>
      <vt:lpstr>Berechnung</vt:lpstr>
      <vt:lpstr>Hilfsdaten</vt:lpstr>
      <vt:lpstr>Tabelle1</vt:lpstr>
    </vt:vector>
  </TitlesOfParts>
  <Company>Geophysik IGS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Nahlinienauswertung</dc:title>
  <dc:creator>Daniel Günther</dc:creator>
  <cp:lastModifiedBy>Machel Muhlanga</cp:lastModifiedBy>
  <dcterms:created xsi:type="dcterms:W3CDTF">2005-09-28T18:13:48Z</dcterms:created>
  <dcterms:modified xsi:type="dcterms:W3CDTF">2026-07-21T14:30:18Z</dcterms:modified>
</cp:coreProperties>
</file>